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E:\work\git\S-131-Product-Specification-Development\S158_131\1.0.0\"/>
    </mc:Choice>
  </mc:AlternateContent>
  <xr:revisionPtr revIDLastSave="0" documentId="13_ncr:1_{D0924A38-F5AB-451A-8C1C-2B1F6DA20A75}" xr6:coauthVersionLast="47" xr6:coauthVersionMax="47" xr10:uidLastSave="{00000000-0000-0000-0000-000000000000}"/>
  <bookViews>
    <workbookView xWindow="-120" yWindow="-120" windowWidth="28110" windowHeight="18240" tabRatio="647" activeTab="1" xr2:uid="{00000000-000D-0000-FFFF-FFFF00000000}"/>
  </bookViews>
  <sheets>
    <sheet name="S131ValidationChecks metadata" sheetId="11" r:id="rId1"/>
    <sheet name="S131Checks" sheetId="10" r:id="rId2"/>
    <sheet name="DeletedS131Checks" sheetId="12" r:id="rId3"/>
  </sheets>
  <externalReferences>
    <externalReference r:id="rId4"/>
  </externalReferences>
  <definedNames>
    <definedName name="_xlnm._FilterDatabase" localSheetId="2" hidden="1">DeletedS131Checks!$A$1:$K$31</definedName>
    <definedName name="_xlnm._FilterDatabase" localSheetId="1" hidden="1">S131Checks!$K$1:$K$101</definedName>
    <definedName name="S101_Disposition">[1]Lists!$A$1:$A$3</definedName>
  </definedNames>
  <calcPr calcId="191029" iterate="1" iterateCount="100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3" i="10" l="1"/>
  <c r="A103" i="10"/>
  <c r="B102" i="10"/>
  <c r="A102" i="10"/>
  <c r="B101" i="10"/>
  <c r="A101" i="10"/>
  <c r="B100" i="10"/>
  <c r="A100" i="10"/>
  <c r="B99" i="10"/>
  <c r="A99" i="10"/>
  <c r="B98" i="10"/>
  <c r="A98" i="10"/>
  <c r="B97" i="10"/>
  <c r="A97" i="10"/>
  <c r="B96" i="10"/>
  <c r="A96" i="10"/>
  <c r="A95" i="10"/>
  <c r="A94" i="10"/>
  <c r="A93" i="10"/>
  <c r="A92" i="10"/>
  <c r="A91" i="10"/>
  <c r="A90" i="10"/>
  <c r="A89" i="10"/>
  <c r="A88" i="10"/>
  <c r="A87" i="10"/>
  <c r="B95" i="10"/>
  <c r="B94" i="10"/>
  <c r="B93" i="10"/>
  <c r="B92" i="10"/>
  <c r="B91" i="10"/>
  <c r="B90" i="10"/>
  <c r="B89" i="10"/>
  <c r="B88" i="10"/>
  <c r="B87" i="10"/>
  <c r="B3" i="10"/>
  <c r="B7" i="10"/>
  <c r="B9" i="10"/>
  <c r="B12" i="10"/>
  <c r="B2" i="10"/>
  <c r="B4" i="10"/>
  <c r="B5" i="10"/>
  <c r="B6" i="10"/>
  <c r="B8" i="10"/>
  <c r="B10" i="10"/>
  <c r="B11"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A2" i="12" a="1"/>
  <c r="A2"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<sst xmlns="http://schemas.openxmlformats.org/spreadsheetml/2006/main" count="987" uniqueCount="482">
  <si>
    <t>Document Number</t>
  </si>
  <si>
    <t>Title</t>
  </si>
  <si>
    <t>Document Type</t>
  </si>
  <si>
    <t>Standard</t>
  </si>
  <si>
    <t>Document Stage</t>
  </si>
  <si>
    <t xml:space="preserve"> Edition(x.x)</t>
  </si>
  <si>
    <t>Issued-date</t>
  </si>
  <si>
    <t>Copyright Year</t>
  </si>
  <si>
    <t>Committee</t>
  </si>
  <si>
    <t>HSSC</t>
  </si>
  <si>
    <t>WG/PT</t>
  </si>
  <si>
    <t>Based</t>
  </si>
  <si>
    <t>Applied without revision</t>
  </si>
  <si>
    <t>Compliant Standard</t>
  </si>
  <si>
    <t>Dev ID</t>
  </si>
  <si>
    <t>Check ID</t>
  </si>
  <si>
    <t>Classification</t>
  </si>
  <si>
    <t xml:space="preserve">Check Message </t>
  </si>
  <si>
    <t>Check Description</t>
  </si>
  <si>
    <t xml:space="preserve">Check Solution </t>
  </si>
  <si>
    <t>Standards document reference</t>
  </si>
  <si>
    <t>Clause reference</t>
  </si>
  <si>
    <t>Introduced</t>
  </si>
  <si>
    <t>Modified</t>
  </si>
  <si>
    <t>Deleted</t>
  </si>
  <si>
    <t>PS</t>
  </si>
  <si>
    <t>2.0.0</t>
  </si>
  <si>
    <t>Draft</t>
  </si>
  <si>
    <t>Ed.2.0.0</t>
  </si>
  <si>
    <t>S-100</t>
  </si>
  <si>
    <t>Ed. 5.2.0</t>
  </si>
  <si>
    <t>1.0.0</t>
  </si>
  <si>
    <t>S-158:131</t>
  </si>
  <si>
    <t>MARINE HARBOUR INFRASTRUCTURE VALIDATION CHECKS</t>
  </si>
  <si>
    <t>NIPWG/S-131 TASK GROUP</t>
  </si>
  <si>
    <t>S-131 PS</t>
  </si>
  <si>
    <t>S-131 DCEG</t>
  </si>
  <si>
    <t>S-131 FC</t>
  </si>
  <si>
    <t>For each feature object where its geometry is not COVERED_BY the UNION of all DataCoverage meta-features</t>
  </si>
  <si>
    <t>For each DataCoverage feature where its referenced surface spatial object has an inner ring AND that ring is not external for another DataCoverage.</t>
  </si>
  <si>
    <t>For each DataCoverage feature where the attributes maximum display scale and minimum display scale are Present AND value of maximum display scale is larger or equal to the value of the minimum display scales.</t>
  </si>
  <si>
    <t>For each DataCoverage feature that OVERLAPS or is WITHIN another DataCoverage.</t>
  </si>
  <si>
    <t>If the dataset file size is greater than the limit set in the Product Specification.</t>
  </si>
  <si>
    <t>If any of the mandatory meta feature objects do not exist within the data set.</t>
  </si>
  <si>
    <t>If any mandatory attributes are not present.</t>
  </si>
  <si>
    <t>For each feature object with an attribute of type Float or Integer where the value contains zeroes before the first numerical digit or after the last numerical digit.</t>
  </si>
  <si>
    <t>For each feature object with an attribute value identical to a corresponding attribute of a meta feature object it is COVERED_BY.</t>
  </si>
  <si>
    <t>For each association between feature instances, feature instances and information instances, and between information instances that is not defined in the feature catalogue.</t>
  </si>
  <si>
    <t>For each role name on associations that is not defined in the feature catalogue.</t>
  </si>
  <si>
    <t>For each association where the object references itself</t>
  </si>
  <si>
    <t>For each association that is not defined in the feature catalogue.</t>
  </si>
  <si>
    <t>For each role name that is not defined in the feature catalogue.</t>
  </si>
  <si>
    <t>For each association that refences an object not permitted by the object binding in the feature catalogue.</t>
  </si>
  <si>
    <t>For each role name ensure it is only used with permitted associations.</t>
  </si>
  <si>
    <t>Dataset fails schema validation with the GML schema for the corresponding edition and revision of the Product Specification.</t>
  </si>
  <si>
    <t>For each text field using a character encoding different from UTF-8.</t>
  </si>
  <si>
    <t>For each object where textContent attribute is present, and two or more information sub-attributes are present, and the combination of fileReference and fileLocator  sub-attributes are equal.</t>
  </si>
  <si>
    <t>For each featureName sub-attribute with language not equal to eng, and where featureName sub-attributes with language equal to eng is not present.</t>
  </si>
  <si>
    <t>For each information sub-attribute with language not equal to eng, and where information sub-attribute with language equal to eng is not present.</t>
  </si>
  <si>
    <t>For each feature instance that does not OVERLAP OR is WITHIN an area of DataCoverage</t>
  </si>
  <si>
    <t>For each object which is present in the dataset but not present in the feature catalogue.</t>
  </si>
  <si>
    <t>For each object which does not have a valid feature or information type label/code as defined by the feature catalogue.</t>
  </si>
  <si>
    <t>For each attribute which does not correspond to an attribute code as defined by the feature catalogue.</t>
  </si>
  <si>
    <t>For each object which contains attributes outside the list of permissible attributes for the feature class (as defined in the feature catalogue).</t>
  </si>
  <si>
    <t>For each object which is present in the dataset which references a geometry which is not permitted in the feature catalogue (including noGeometry if allowed)</t>
  </si>
  <si>
    <t>For each integer or real attribute whose value does not conform to the range (if any) defined in the feature catalogue</t>
  </si>
  <si>
    <t>For each enumeration attribute whose code or value do not conform to the values permitted in the feature catalogue.</t>
  </si>
  <si>
    <t>For each enumeration or codelist attribute whose code and value do not correspond to the same listed value in the feature catalogue.</t>
  </si>
  <si>
    <t>For each attribute which does not correspond to the format defined for the attribute value specified in the feature catalogue</t>
  </si>
  <si>
    <t>For each feature instance which is not COVERED_BY the combined coverage of QualityOfNonBathymetricData  meta feature instances.</t>
  </si>
  <si>
    <t>For each feature instance where a depth attribute is present AND which is not COVERED_BY the combined coverage of SoundingDatum  meta feature instances.</t>
  </si>
  <si>
    <t>For each feature instance where an elevation attribute is present AND which is not COVERED_BY the combined coverage of VerticalDatumOfData  meta feature instances.</t>
  </si>
  <si>
    <t>If there is not exactly one instance each of SoundingDatum and VerticalDatumOfData present in the dataset.</t>
  </si>
  <si>
    <t>If the order of the data in a dataset is not correct.</t>
  </si>
  <si>
    <t>For each attribute instance where the total number of instances exceed the permitted number of instances</t>
  </si>
  <si>
    <t>For each feature instance where periodicDateRange sub-attributes dateEnd and dateStart are notNull AND their values are identical.</t>
  </si>
  <si>
    <t>For each feature instance where periodicDateRange sub-attribute dateStart OR dateEnd is missing.</t>
  </si>
  <si>
    <t xml:space="preserve">For each linear geometry which contains vertices at a density Greater than 0.3mm at maximum display scale. </t>
  </si>
  <si>
    <t xml:space="preserve">For each instance of ServiceHours where an instance of scheduleByDayOfWeek attribute has temporal overlaps specified by timeIntervalByDayOfWeek attribute. </t>
  </si>
  <si>
    <t>For each instance of ServiceHours with more than one instance of scheduleByDayOfWeek, and where an instance of scheduleByDayOfWeek has a temporal overlap with another instance of scheduleByDayOfWeek.</t>
  </si>
  <si>
    <t>For each instance of a file referenced in the data and not present in the exchange set.</t>
  </si>
  <si>
    <t>For each feature instance which CROSS the 180° meridian.</t>
  </si>
  <si>
    <t>For each fixedDateRange where both dateEnd and dateStart are missing.</t>
  </si>
  <si>
    <t>For each fixedDateRange where dateEnd or dateStart is not Null but the year component is not specified.</t>
  </si>
  <si>
    <t>For each textContent attribute where both information and onlineResource are missing.</t>
  </si>
  <si>
    <t>For each information attribute where both fileReference and text sub-attributes are missing.</t>
  </si>
  <si>
    <t>For each instance of the text attribute that contains more than 300 characters</t>
  </si>
  <si>
    <t>For each contactAddress where all sub-attributes are missing.</t>
  </si>
  <si>
    <t>For each Applicability without at least one of its attributes populated, or with only logicalConnectives populated.</t>
  </si>
  <si>
    <t>For each ContactDetails with all attributes missing.</t>
  </si>
  <si>
    <t>For each feature or information association where the target object is not present in the dataset.</t>
  </si>
  <si>
    <t>For each weatherResource with both onlineResouce and textContent missing.</t>
  </si>
  <si>
    <t>For each weatherResource with dynamicResource = 2 or 3 and onlineResource missing.</t>
  </si>
  <si>
    <t>For each weatherResource with onlineResource present and  dynamicResource missing.</t>
  </si>
  <si>
    <t>For each SpatialQuality information type which is referenced by a Surface spatial object.</t>
  </si>
  <si>
    <t>For each SpatialQuality information type which has vertical uncertainty populated and is referenced by a Curve or Composite Curve spatial object.</t>
  </si>
  <si>
    <t>For each surface where the exterior boundary shares more than one node with an interior boundary.</t>
  </si>
  <si>
    <t>For each curve segment with &gt;1 segment and composite curve components where the individual components do not have coincident start/end points (e.g. end segment N != start segment N+1).</t>
  </si>
  <si>
    <t>For each feature of primitive surface where the exterior boundary is not oriented clockwise (surface to the right).</t>
  </si>
  <si>
    <t>For each feature of primitive surface where an interior boundary is not oriented anti-clockwise (surface to the right).</t>
  </si>
  <si>
    <t>For each surface where an interior boundary is within an interior boundary.</t>
  </si>
  <si>
    <t>For each surface where an interior boundary is not within one exterior boundary.</t>
  </si>
  <si>
    <t>For each surface where an exterior boundary is within an interior boundary.</t>
  </si>
  <si>
    <t xml:space="preserve">For each feature of geometric primitive surface with &gt;1 spatial associations (SPAS) ? </t>
  </si>
  <si>
    <t>Curves and Composite curves (including Polygons referenced by Surface features in level 3a/b) must not self-intersect [defined with reference to diagram].</t>
  </si>
  <si>
    <t>Each composite curve must be continuous. The end point of each component (taking into account the orientation) must be a duplicate of the start point of the next curve component (again, taking into account the orientation).</t>
  </si>
  <si>
    <t>Curve Segments must not start or end with repeated vertices. Segments must not repeat any vertex (this constitutes self-intersection). (For each curve component with EQUAL consecutive vertices.)</t>
  </si>
  <si>
    <t>A closed curve must have two or more intermediate vertices (or it self-intersects).</t>
  </si>
  <si>
    <t>For each feature with more than one of the attributes bollardNumber, metreMarkNumber, manifoldNumber, rampNumber populated.</t>
  </si>
  <si>
    <t xml:space="preserve">Objects fall outside the coverage object. </t>
  </si>
  <si>
    <t>Data Coverage has an inner ring without adjoined another Data Coverage.</t>
  </si>
  <si>
    <t>Maximum display scale is larger or equal to the value of the minimum display scale.</t>
  </si>
  <si>
    <t>Dataset contains overlapping DataCoverage features.</t>
  </si>
  <si>
    <t>DataCoverage features have different values of  the attribute minimum display scale.</t>
  </si>
  <si>
    <t>Dataset exceeds size limits.</t>
  </si>
  <si>
    <t xml:space="preserve">Mandatory meta feature objects are missing. </t>
  </si>
  <si>
    <t>Mandatory attributes are not encoded.</t>
  </si>
  <si>
    <t>Values have been padded with non-significant zeroes.</t>
  </si>
  <si>
    <t>An attribute value of a meta feature object is duplicated on a geo object.</t>
  </si>
  <si>
    <t>Wrong association used.</t>
  </si>
  <si>
    <t>Wrong role used.</t>
  </si>
  <si>
    <t>Unknown association is used.</t>
  </si>
  <si>
    <t>Unknown role name is used.</t>
  </si>
  <si>
    <t>Object association is not allowed.</t>
  </si>
  <si>
    <t>Role name is used on an illegal association.</t>
  </si>
  <si>
    <t>Dataset must conform to the GML schema for its Product Specification edition and revision.</t>
  </si>
  <si>
    <t xml:space="preserve"> Character encoding for text must be UTF-8.</t>
  </si>
  <si>
    <t>Values of “name” sub attribute of “featureName” are identical.</t>
  </si>
  <si>
    <t>Values for “text” sub-attribute of “information” are identical.</t>
  </si>
  <si>
    <t>Different languages information refers to the same external file and its fragment.</t>
  </si>
  <si>
    <t>File reference attribute refers to a file with inadmissible format.</t>
  </si>
  <si>
    <t>Name is encoded in national language only.</t>
  </si>
  <si>
    <t>Text is encoded in national language only</t>
  </si>
  <si>
    <t>Horizontal CRS is not EPSG 4326</t>
  </si>
  <si>
    <t>Object outside area of coverage.</t>
  </si>
  <si>
    <t>Datasets must only contain the feature and information types listed in the FC.</t>
  </si>
  <si>
    <t>Object has invalid feature class code.</t>
  </si>
  <si>
    <t>Attribute has invalid attribute.</t>
  </si>
  <si>
    <t>Attribute not permitted on feature or information type.</t>
  </si>
  <si>
    <t>Error in numeric attribute value.</t>
  </si>
  <si>
    <t>Value of attribute is outside range.</t>
  </si>
  <si>
    <t>Code and value of enumeration or codelist attribute do not match.</t>
  </si>
  <si>
    <t>Attribute values must be in the correct format.</t>
  </si>
  <si>
    <t>Feature instance not covered by an QualityOfNonBathymetricData instance.</t>
  </si>
  <si>
    <t>Feature instance not covered by SoundingDatum  instance.</t>
  </si>
  <si>
    <t>Feature instance not covered by VerticalDatumOfData  instance.</t>
  </si>
  <si>
    <t>Exactly one instance of SoundingDatum and VerticalDatumOfData are required.</t>
  </si>
  <si>
    <t>Incorrect data order.</t>
  </si>
  <si>
    <t>Too many instances of attribute.</t>
  </si>
  <si>
    <t>Object has identical values of periodicDateRange sub-attributes dateEnd and dateStart.</t>
  </si>
  <si>
    <t>Periodic date range must have both dateEnd and dateStart.</t>
  </si>
  <si>
    <t>Vertex density exceeds the allowable tolerance.</t>
  </si>
  <si>
    <t>Time intervals within the same scheduleByDayOfWeek attribute overlap.</t>
  </si>
  <si>
    <t>Schedule overlaps.</t>
  </si>
  <si>
    <t>File referenced in the dataset is not present in the exchange set.</t>
  </si>
  <si>
    <t>Data crossing the 180° meridian.</t>
  </si>
  <si>
    <t>FixedDateRange not populated making the attribute meaningless.</t>
  </si>
  <si>
    <t>Year is required in fixedDateRange dates.</t>
  </si>
  <si>
    <t>TextContent is not populated with meaningful information.</t>
  </si>
  <si>
    <t>Information is not populated with meaningful information.</t>
  </si>
  <si>
    <t>Text attribute contains more than 300 characters.</t>
  </si>
  <si>
    <t>Contact address is not populated with meaningful information.</t>
  </si>
  <si>
    <t>Regulations, Restrictions, Recommendations, NauticalInformation not populated.</t>
  </si>
  <si>
    <t>Applicability is not populated with meaningful information.</t>
  </si>
  <si>
    <t>Logical connective not encoded in Applicability instance.</t>
  </si>
  <si>
    <t>Vessel measurements are mutually inconsistent.</t>
  </si>
  <si>
    <t>NonStandardWorkingDay not populated with meaningful information.</t>
  </si>
  <si>
    <t>ContactDetails not populated with meaningful information.</t>
  </si>
  <si>
    <t>Associated feature or information type not present.</t>
  </si>
  <si>
    <t>Weather resource information is not present.</t>
  </si>
  <si>
    <t>Complex attributes for dynamic resources must indicate a source for the dynamic information.</t>
  </si>
  <si>
    <t>Complex attributes for online weather resources must indicate whether the resource is static or dynamic.</t>
  </si>
  <si>
    <t>SpatialQuality is associated with a Surface spatial object.</t>
  </si>
  <si>
    <t>Prohibited vertical uncertainty attribute of SpatialQuality for curve spatial object.</t>
  </si>
  <si>
    <t>Language code not from ISO 639-2/T list.</t>
  </si>
  <si>
    <t>Spatial object error.</t>
  </si>
  <si>
    <t>Spatial object error</t>
  </si>
  <si>
    <t xml:space="preserve"> (interiors can not be inside interiors).</t>
  </si>
  <si>
    <t>Too many position numbers.</t>
  </si>
  <si>
    <t>For each frequencyPair with sub-attributes  frequencyShoreStationTransmits and frequencyShoreStationReceives both missing.</t>
  </si>
  <si>
    <t>For each Regulations, Restrictions, Recommendations, or NauticalInformation with both graphic and textContent missing.</t>
  </si>
  <si>
    <t>For each NonStandardWorkingDay with all of dateFixed, dateVariable, and information missing.</t>
  </si>
  <si>
    <t>Values for file reference and locator combinations are identical.</t>
  </si>
  <si>
    <t>Feature types must only have permitted geometric primitives</t>
  </si>
  <si>
    <t>Frequency pair frequency attributes are not populated with meaningful information.</t>
  </si>
  <si>
    <t>Geometry does not conform to S-100 (self-intersection).</t>
  </si>
  <si>
    <t>Curve segments must be well formed. (Well formed curve segments)</t>
  </si>
  <si>
    <t>Spatial object error  (exteriors can not be inside interiors)</t>
  </si>
  <si>
    <t>Spatial object error. (Surface features must associate with only one surface)</t>
  </si>
  <si>
    <t>Spatial object error.  (Self-intersection)</t>
  </si>
  <si>
    <t>Spatial object error.  (Composite curves must be well defined.)</t>
  </si>
  <si>
    <t>Spatial object error.  (No self-intersection (repeated vertices))</t>
  </si>
  <si>
    <t>Ensure objects are not outside of the limits of the cell.</t>
  </si>
  <si>
    <t>Modify geometry.</t>
  </si>
  <si>
    <t>Correct values of maximum and minimum display scales.</t>
  </si>
  <si>
    <t>Remove overlap.</t>
  </si>
  <si>
    <t>Use the same values of minimum display scale.</t>
  </si>
  <si>
    <t>Ensure that the dataset is no larger than the applicable limit specified in the Product Specification.</t>
  </si>
  <si>
    <t>Include all mandatory meta feature objects</t>
  </si>
  <si>
    <t>Populate mandatory attributes (If unknown encode attribute with empty value).</t>
  </si>
  <si>
    <t xml:space="preserve">Remove non-significant zeroes. </t>
  </si>
  <si>
    <t>Remove duplicate value from geo object.</t>
  </si>
  <si>
    <t>Use correct association type.</t>
  </si>
  <si>
    <t>Use correct role name.</t>
  </si>
  <si>
    <t>Correct association target</t>
  </si>
  <si>
    <t>Use association that is defined in the feature catalogue.</t>
  </si>
  <si>
    <t>Use role name that is defined in the feature catalogue.</t>
  </si>
  <si>
    <t>Ensure correct association is used between classes.</t>
  </si>
  <si>
    <t>Ensure correct role names are used on the association.</t>
  </si>
  <si>
    <t>Ensure conformance to the GML schema for the PS edition and revision specified in the dataset.</t>
  </si>
  <si>
    <t>Change character encoding to UTF-8.</t>
  </si>
  <si>
    <t>Ensure that name sub-attributes are populated with the correct values.</t>
  </si>
  <si>
    <t>Ensure that text sub-attributes are populated with the correct values.</t>
  </si>
  <si>
    <t>Replace with the correct fileLocator and fileReference combination.</t>
  </si>
  <si>
    <t>Correct fileReference value and/or support file type.</t>
  </si>
  <si>
    <t>Ensure that national language attributes are populated with the correct values.</t>
  </si>
  <si>
    <t>Populate text attribute with English text.</t>
  </si>
  <si>
    <t>Populate name attribute with English text.</t>
  </si>
  <si>
    <t>Remove object or amend coverage.</t>
  </si>
  <si>
    <t>Delete object or replace with an instance of a feature or information type defined in the feature catalogue.</t>
  </si>
  <si>
    <t>Remove duplicate object</t>
  </si>
  <si>
    <t>Amend object class code.</t>
  </si>
  <si>
    <t>Amend attribute name.</t>
  </si>
  <si>
    <t>Remove attribute.</t>
  </si>
  <si>
    <t>Use allowed spatial primitive.</t>
  </si>
  <si>
    <t>Correct value</t>
  </si>
  <si>
    <t>Correct attribute code or value.</t>
  </si>
  <si>
    <t>Correct format of value</t>
  </si>
  <si>
    <t>Ensure full coverage of QualityOfNonBathymetricData instance.</t>
  </si>
  <si>
    <t>Ensure full coverage of SoundingDatum  instance.</t>
  </si>
  <si>
    <t>Ensure full coverage of VerticalDatumOfData  instance.</t>
  </si>
  <si>
    <t>Ensure that the dataset contains exactly one instance each of SoundingDatum and VerticalDatumOfData.</t>
  </si>
  <si>
    <t>Amend data order.</t>
  </si>
  <si>
    <t>Ensure correct attribute encoding.</t>
  </si>
  <si>
    <t>Ensure values of periodicDateRange sub-attributes dateEnd and dateStart are logical.</t>
  </si>
  <si>
    <t>Populate both dateStart and dateEnd.</t>
  </si>
  <si>
    <t>Generalise edge(s).</t>
  </si>
  <si>
    <t>Review time intervals and remove time overlap.</t>
  </si>
  <si>
    <t>Review service hour intervals and remove time overlap.</t>
  </si>
  <si>
    <t>Add file to exchange set or remove reference to file.</t>
  </si>
  <si>
    <t>Split the dataset along the 180° meridian.</t>
  </si>
  <si>
    <t>Amend values of dateEnd or dateStart accordingly.</t>
  </si>
  <si>
    <t>Populate year component of dateStart and dateEnd</t>
  </si>
  <si>
    <t>Reduce content of text attribute or move to support file.</t>
  </si>
  <si>
    <t>Populate at least one sub-attribute of contactAddress.</t>
  </si>
  <si>
    <t>Add the appropriate value of logicalConnectives.</t>
  </si>
  <si>
    <t>Correct the inconsistency.</t>
  </si>
  <si>
    <t>Populate at least one of onlineResource or textContent.</t>
  </si>
  <si>
    <t>Populate the onlineResource attibute.</t>
  </si>
  <si>
    <t>Populate the dynamicResource attibute.</t>
  </si>
  <si>
    <t>Remove prohibited association.</t>
  </si>
  <si>
    <t>Correct language code.</t>
  </si>
  <si>
    <t>Correct spatial object.</t>
  </si>
  <si>
    <t>Correct spatial object(s).</t>
  </si>
  <si>
    <t>Populate at least one of dateEnd or dateStart.</t>
  </si>
  <si>
    <t>Populate information or onlineResource.</t>
  </si>
  <si>
    <t>Populate fileReference or text attribute.</t>
  </si>
  <si>
    <t>Populate at least one of frequencyShoreStationTransmits or frequencyShoreStationReceives.</t>
  </si>
  <si>
    <t>Populate at least one of graphic and textContent.</t>
  </si>
  <si>
    <t>Populate at least one attribute of Applicability other than logicalConnectives.</t>
  </si>
  <si>
    <t>Populate at least one of dateFixed, dateVariable, and information.</t>
  </si>
  <si>
    <t>Populate at least one attribute of ContactDetails.</t>
  </si>
  <si>
    <t>Correct or remove the association, or add the  missing feature or information type</t>
  </si>
  <si>
    <t>DCEG</t>
  </si>
  <si>
    <t>E</t>
  </si>
  <si>
    <t>C</t>
  </si>
  <si>
    <t>W</t>
  </si>
  <si>
    <t>B, S</t>
  </si>
  <si>
    <t>B</t>
  </si>
  <si>
    <t>B, U</t>
  </si>
  <si>
    <t>B, U, S</t>
  </si>
  <si>
    <t>Apply To</t>
  </si>
  <si>
    <t>4.2</t>
  </si>
  <si>
    <t>12.4</t>
  </si>
  <si>
    <t>12.5</t>
  </si>
  <si>
    <t>2.4.9.2</t>
  </si>
  <si>
    <t>3</t>
  </si>
  <si>
    <t>13.1</t>
  </si>
  <si>
    <t>12.1.1</t>
  </si>
  <si>
    <t>2.4.8.3</t>
  </si>
  <si>
    <t>PS; DCEG</t>
  </si>
  <si>
    <r>
      <t xml:space="preserve">For each Applicability with mutually inconsistent values of vessel measurements in the attribute </t>
    </r>
    <r>
      <rPr>
        <i/>
        <sz val="10"/>
        <color rgb="FF000000"/>
        <rFont val="Calibri"/>
        <family val="2"/>
        <scheme val="minor"/>
      </rPr>
      <t>vesselsMeasurements.</t>
    </r>
  </si>
  <si>
    <r>
      <t xml:space="preserve">For each feature, information type, or complex attribute where two or more </t>
    </r>
    <r>
      <rPr>
        <i/>
        <sz val="10"/>
        <color rgb="FF000000"/>
        <rFont val="Calibri"/>
        <family val="2"/>
        <scheme val="minor"/>
      </rPr>
      <t>information</t>
    </r>
    <r>
      <rPr>
        <sz val="10"/>
        <color rgb="FF000000"/>
        <rFont val="Calibri"/>
        <family val="2"/>
        <scheme val="minor"/>
      </rPr>
      <t xml:space="preserve"> attributes are present, AND the </t>
    </r>
    <r>
      <rPr>
        <i/>
        <sz val="10"/>
        <color rgb="FF000000"/>
        <rFont val="Calibri"/>
        <family val="2"/>
        <scheme val="minor"/>
      </rPr>
      <t>text</t>
    </r>
    <r>
      <rPr>
        <sz val="10"/>
        <color rgb="FF000000"/>
        <rFont val="Calibri"/>
        <family val="2"/>
        <scheme val="minor"/>
      </rPr>
      <t xml:space="preserve"> sub-attributes of information are equal.</t>
    </r>
  </si>
  <si>
    <r>
      <t xml:space="preserve">For each feature, information type or complex attribute where two or more </t>
    </r>
    <r>
      <rPr>
        <i/>
        <sz val="10"/>
        <color rgb="FF000000"/>
        <rFont val="Calibri"/>
        <family val="2"/>
        <scheme val="minor"/>
      </rPr>
      <t>information</t>
    </r>
    <r>
      <rPr>
        <sz val="10"/>
        <color rgb="FF000000"/>
        <rFont val="Calibri"/>
        <family val="2"/>
        <scheme val="minor"/>
      </rPr>
      <t xml:space="preserve"> complex attributes are present AND they have different language value AND identical pair of  notNull values of the sub-attributes fileLocator and fileReference.</t>
    </r>
  </si>
  <si>
    <r>
      <t xml:space="preserve">For each Applicability with </t>
    </r>
    <r>
      <rPr>
        <i/>
        <sz val="10"/>
        <color rgb="FF000000"/>
        <rFont val="Calibri"/>
        <family val="2"/>
        <scheme val="minor"/>
      </rPr>
      <t>logicalConnectives</t>
    </r>
    <r>
      <rPr>
        <sz val="10"/>
        <color rgb="FF000000"/>
        <rFont val="Calibri"/>
        <family val="2"/>
        <scheme val="minor"/>
      </rPr>
      <t xml:space="preserve"> missing AND [more than one of the other attributes populated OR more than one </t>
    </r>
    <r>
      <rPr>
        <i/>
        <sz val="10"/>
        <color rgb="FF000000"/>
        <rFont val="Calibri"/>
        <family val="2"/>
        <scheme val="minor"/>
      </rPr>
      <t>vesselsMeasurements</t>
    </r>
    <r>
      <rPr>
        <sz val="10"/>
        <color rgb="FF000000"/>
        <rFont val="Calibri"/>
        <family val="2"/>
        <scheme val="minor"/>
      </rPr>
      <t>].</t>
    </r>
  </si>
  <si>
    <t>Remarks</t>
  </si>
  <si>
    <t>Redundant in 2.0.0, now covered by generic check for conformance since ...Transmits is made mandatory in FC</t>
  </si>
  <si>
    <r>
      <t xml:space="preserve">For each </t>
    </r>
    <r>
      <rPr>
        <i/>
        <sz val="10"/>
        <color rgb="FF000000"/>
        <rFont val="Calibri"/>
        <family val="2"/>
        <scheme val="minor"/>
      </rPr>
      <t>language</t>
    </r>
    <r>
      <rPr>
        <sz val="10"/>
        <color rgb="FF000000"/>
        <rFont val="Calibri"/>
        <family val="2"/>
        <scheme val="minor"/>
      </rPr>
      <t xml:space="preserve"> attribute which is populated with a value other than one of the 3-character ISO 639-2/T codes</t>
    </r>
    <r>
      <rPr>
        <sz val="10"/>
        <color rgb="FFFF0000"/>
        <rFont val="Calibri"/>
        <family val="2"/>
        <scheme val="minor"/>
      </rPr>
      <t xml:space="preserve"> in the S-100 languages list on the schema server</t>
    </r>
    <r>
      <rPr>
        <sz val="10"/>
        <color rgb="FF000000"/>
        <rFont val="Calibri"/>
        <family val="2"/>
        <scheme val="minor"/>
      </rPr>
      <t>.</t>
    </r>
  </si>
  <si>
    <t>For each information complex attribute where  the sub-attribute fileReference  has a file name with extension which is not equal one of .TXT or .HTM.</t>
  </si>
  <si>
    <t>Covered by generic check(s) in S-158:100.</t>
  </si>
  <si>
    <t>Edition 2.0.0 does not permit XML support files.</t>
  </si>
  <si>
    <t>131_ED1_101</t>
  </si>
  <si>
    <t>131_ED1_102</t>
  </si>
  <si>
    <t>131_ED1_103</t>
  </si>
  <si>
    <t>131_ED1_104</t>
  </si>
  <si>
    <t>131_ED1_105</t>
  </si>
  <si>
    <t>131_ED1_106</t>
  </si>
  <si>
    <t>131_ED1_107</t>
  </si>
  <si>
    <t>131_ED1_108</t>
  </si>
  <si>
    <t>131_ED1_109</t>
  </si>
  <si>
    <t>131_ED1_110</t>
  </si>
  <si>
    <t>131_ED1_111</t>
  </si>
  <si>
    <t>131_ED1_112</t>
  </si>
  <si>
    <t>131_ED1_113</t>
  </si>
  <si>
    <t>131_ED1_114</t>
  </si>
  <si>
    <t>131_ED1_115</t>
  </si>
  <si>
    <t>131_ED1_116</t>
  </si>
  <si>
    <t>131_ED1_117</t>
  </si>
  <si>
    <t>131_ED1_118</t>
  </si>
  <si>
    <t>131_ED1_119</t>
  </si>
  <si>
    <t>131_ED1_120</t>
  </si>
  <si>
    <t>131_ED1_121</t>
  </si>
  <si>
    <t>131_ED1_122</t>
  </si>
  <si>
    <t>131_ED1_123</t>
  </si>
  <si>
    <t>131_ED1_124</t>
  </si>
  <si>
    <t>131_ED1_125</t>
  </si>
  <si>
    <t>131_ED1_126</t>
  </si>
  <si>
    <t>131_ED1_127</t>
  </si>
  <si>
    <t>131_ED1_128</t>
  </si>
  <si>
    <t>131_ED1_129</t>
  </si>
  <si>
    <t>131_ED1_130</t>
  </si>
  <si>
    <t>131_ED1_131</t>
  </si>
  <si>
    <t>131_ED1_132</t>
  </si>
  <si>
    <t>131_ED1_133</t>
  </si>
  <si>
    <t>131_ED1_134</t>
  </si>
  <si>
    <t>131_ED1_135</t>
  </si>
  <si>
    <t>131_ED1_136</t>
  </si>
  <si>
    <t>131_ED1_137</t>
  </si>
  <si>
    <t>131_ED1_138</t>
  </si>
  <si>
    <t>131_ED1_139</t>
  </si>
  <si>
    <t>131_ED1_140</t>
  </si>
  <si>
    <t>131_ED1_141</t>
  </si>
  <si>
    <t>131_ED1_142</t>
  </si>
  <si>
    <t>131_ED1_143</t>
  </si>
  <si>
    <t>131_ED1_144</t>
  </si>
  <si>
    <t>131_ED1_145</t>
  </si>
  <si>
    <t>131_ED1_146</t>
  </si>
  <si>
    <t>131_ED1_147</t>
  </si>
  <si>
    <t>131_ED1_148</t>
  </si>
  <si>
    <t>131_ED1_149</t>
  </si>
  <si>
    <t>131_ED1_150</t>
  </si>
  <si>
    <t>131_ED1_151</t>
  </si>
  <si>
    <t>131_ED1_152</t>
  </si>
  <si>
    <t>131_ED1_153</t>
  </si>
  <si>
    <t>131_ED1_154</t>
  </si>
  <si>
    <t>131_ED1_155</t>
  </si>
  <si>
    <t>131_ED1_156</t>
  </si>
  <si>
    <t>131_ED1_157</t>
  </si>
  <si>
    <t>131_ED1_158</t>
  </si>
  <si>
    <t>131_ED1_159</t>
  </si>
  <si>
    <t>131_ED1_160</t>
  </si>
  <si>
    <t>131_ED1_161</t>
  </si>
  <si>
    <t>131_ED1_162</t>
  </si>
  <si>
    <t>131_ED1_163</t>
  </si>
  <si>
    <t>131_ED1_164</t>
  </si>
  <si>
    <t>131_ED1_165</t>
  </si>
  <si>
    <t>131_ED1_166</t>
  </si>
  <si>
    <t>131_ED1_167</t>
  </si>
  <si>
    <t>131_ED1_168</t>
  </si>
  <si>
    <t>131_ED1_169</t>
  </si>
  <si>
    <t>131_ED1_170</t>
  </si>
  <si>
    <t>131_ED1_171</t>
  </si>
  <si>
    <t>131_ED1_172</t>
  </si>
  <si>
    <t>131_ED1_173</t>
  </si>
  <si>
    <t>131_ED1_174</t>
  </si>
  <si>
    <t>131_ED1_175</t>
  </si>
  <si>
    <t>131_ED1_176</t>
  </si>
  <si>
    <t>131_ED1_177</t>
  </si>
  <si>
    <t>131_ED1_178</t>
  </si>
  <si>
    <t>131_ED1_179</t>
  </si>
  <si>
    <t>131_ED1_180</t>
  </si>
  <si>
    <t>131_ED1_181</t>
  </si>
  <si>
    <t>131_ED1_182</t>
  </si>
  <si>
    <t>131_ED1_183</t>
  </si>
  <si>
    <t>131_ED1_184</t>
  </si>
  <si>
    <t>131_ED1_185</t>
  </si>
  <si>
    <t>Self-referential association.</t>
  </si>
  <si>
    <t>Object is a duplicate of another object</t>
  </si>
  <si>
    <t>See 100_0007</t>
  </si>
  <si>
    <t>Severity changed from E to W</t>
  </si>
  <si>
    <t>Covered by generic check(s) in S-158:100. 100_0302</t>
  </si>
  <si>
    <t>[10.4, 12.1]</t>
  </si>
  <si>
    <t>[12.16]; [5.2.1]</t>
  </si>
  <si>
    <t>See100_0172</t>
  </si>
  <si>
    <t>Metadata of S-131 Validation Check Specification</t>
  </si>
  <si>
    <r>
      <t xml:space="preserve">For each feature or information type where more than one featureName is present, and the </t>
    </r>
    <r>
      <rPr>
        <i/>
        <sz val="10"/>
        <color rgb="FF000000"/>
        <rFont val="Calibri"/>
        <family val="2"/>
        <scheme val="minor"/>
      </rPr>
      <t>name</t>
    </r>
    <r>
      <rPr>
        <sz val="10"/>
        <color rgb="FF000000"/>
        <rFont val="Calibri"/>
        <family val="2"/>
        <scheme val="minor"/>
      </rPr>
      <t xml:space="preserve"> </t>
    </r>
    <r>
      <rPr>
        <sz val="10"/>
        <color rgb="FFFF0000"/>
        <rFont val="Calibri"/>
        <family val="2"/>
        <scheme val="minor"/>
      </rPr>
      <t xml:space="preserve">and nameUsage </t>
    </r>
    <r>
      <rPr>
        <sz val="10"/>
        <color rgb="FF000000"/>
        <rFont val="Calibri"/>
        <family val="2"/>
        <scheme val="minor"/>
      </rPr>
      <t>sub-attributes of two or more featureName instances is equal.</t>
    </r>
  </si>
  <si>
    <t>If the srsName values encoded in the dataset are different from http://www.opengis.net/def/crs/EPSG/0/4326</t>
  </si>
  <si>
    <t>Clause ref. updated in 2.0.0; check reformulated</t>
  </si>
  <si>
    <t>Is this still appropriate for S-131 Edition 2?</t>
  </si>
  <si>
    <t>Redundant, compare to 131_0001</t>
  </si>
  <si>
    <r>
      <t xml:space="preserve">For each object where another object has identical attribute values, </t>
    </r>
    <r>
      <rPr>
        <sz val="10"/>
        <color rgb="FFFF0000"/>
        <rFont val="Calibri"/>
        <family val="2"/>
        <scheme val="minor"/>
      </rPr>
      <t>associations</t>
    </r>
    <r>
      <rPr>
        <sz val="10"/>
        <color rgb="FF000000"/>
        <rFont val="Calibri"/>
        <family val="2"/>
        <scheme val="minor"/>
      </rPr>
      <t xml:space="preserve"> and identical geometry (if applicable)</t>
    </r>
  </si>
  <si>
    <t>Empty update</t>
  </si>
  <si>
    <t>For each update dataset, without a feature or information type, or spatial object</t>
  </si>
  <si>
    <t>Add updated feature or information type.</t>
  </si>
  <si>
    <t>U</t>
  </si>
  <si>
    <t>Only file-less cancellation is permitted</t>
  </si>
  <si>
    <r>
      <t xml:space="preserve">For each cancellation (termination) of a dataset </t>
    </r>
    <r>
      <rPr>
        <sz val="10"/>
        <color rgb="FFFF0000"/>
        <rFont val="Calibri"/>
        <family val="2"/>
        <scheme val="minor"/>
      </rPr>
      <t>(discovery metadata record with purpose=cancellation)</t>
    </r>
    <r>
      <rPr>
        <sz val="10"/>
        <color rgb="FF000000"/>
        <rFont val="Calibri"/>
        <family val="2"/>
        <scheme val="minor"/>
      </rPr>
      <t xml:space="preserve"> where the exchange set contains a corresponding dataset file</t>
    </r>
  </si>
  <si>
    <r>
      <t xml:space="preserve">Remove the dataset file from the exchange set or correct the </t>
    </r>
    <r>
      <rPr>
        <sz val="10"/>
        <color rgb="FFFF0000"/>
        <rFont val="Calibri"/>
        <family val="2"/>
        <scheme val="minor"/>
      </rPr>
      <t>discovery</t>
    </r>
    <r>
      <rPr>
        <sz val="10"/>
        <rFont val="Calibri"/>
        <family val="2"/>
        <scheme val="minor"/>
      </rPr>
      <t xml:space="preserve"> metadata</t>
    </r>
  </si>
  <si>
    <t>Overlapping datasets within the same scale range</t>
  </si>
  <si>
    <t>Datasets in the same scale range have overlapping DataCoverage features</t>
  </si>
  <si>
    <t>Correct coverages or scale ranges</t>
  </si>
  <si>
    <t>Ensure that no duplicate FOIDs exist.</t>
  </si>
  <si>
    <r>
      <t xml:space="preserve">Duplicate </t>
    </r>
    <r>
      <rPr>
        <sz val="10"/>
        <rFont val="Calibri"/>
        <family val="2"/>
        <scheme val="minor"/>
      </rPr>
      <t>identifiers</t>
    </r>
    <r>
      <rPr>
        <sz val="10"/>
        <color rgb="FF000000"/>
        <rFont val="Calibri"/>
        <family val="2"/>
        <scheme val="minor"/>
      </rPr>
      <t xml:space="preserve"> exist within the dataset. </t>
    </r>
  </si>
  <si>
    <r>
      <t xml:space="preserve">For each feature record  where the </t>
    </r>
    <r>
      <rPr>
        <sz val="10"/>
        <rFont val="Calibri"/>
        <family val="2"/>
        <scheme val="minor"/>
      </rPr>
      <t>identifier</t>
    </r>
    <r>
      <rPr>
        <sz val="10"/>
        <color rgb="FF000000"/>
        <rFont val="Calibri"/>
        <family val="2"/>
        <scheme val="minor"/>
      </rPr>
      <t xml:space="preserve"> is not unique WITHIN the dataset.</t>
    </r>
  </si>
  <si>
    <t>[5.2.2]; [4.1]</t>
  </si>
  <si>
    <t>N/A</t>
  </si>
  <si>
    <t>Set the horizontal CRS to EPSG 4326 using the OGC URI convention.</t>
  </si>
  <si>
    <t>Covered by generic check 100_0064</t>
  </si>
  <si>
    <t>Covered by 100_0004</t>
  </si>
  <si>
    <t>Dataset discovery metadata is missing for dataset</t>
  </si>
  <si>
    <t>For each instance of a dataset, present in the exchange set and that does not have dataset discovery metadata.</t>
  </si>
  <si>
    <t>Add dataset discovery metadata</t>
  </si>
  <si>
    <t>Support file discovery metadata is missing for support file.</t>
  </si>
  <si>
    <t>For each instance of a support file, present in the exchange set and that does not have support file discovery metadata.</t>
  </si>
  <si>
    <t>Support file discovery metadata</t>
  </si>
  <si>
    <t>No discovery metadata for catalogue.</t>
  </si>
  <si>
    <t>For each catalogue in the exchange set for which there is no discovery metadata  in the exchange catalogue</t>
  </si>
  <si>
    <t>Add discovery metadata to exchange catalogue or remove catalogue from exchange set.</t>
  </si>
  <si>
    <t>File is missing from exchange set.</t>
  </si>
  <si>
    <r>
      <t xml:space="preserve">For each file referenced by the catalogue file in the exchange set and not present in the exchange set </t>
    </r>
    <r>
      <rPr>
        <sz val="10"/>
        <color rgb="FFFF0000"/>
        <rFont val="Calibri"/>
        <family val="2"/>
        <scheme val="minor"/>
      </rPr>
      <t>and not cancelled by discovery metadata.</t>
    </r>
  </si>
  <si>
    <r>
      <t>dateEnd precedes</t>
    </r>
    <r>
      <rPr>
        <sz val="10"/>
        <color rgb="FFFF0000"/>
        <rFont val="Calibri"/>
        <family val="2"/>
        <scheme val="minor"/>
      </rPr>
      <t xml:space="preserve"> or coincides with</t>
    </r>
    <r>
      <rPr>
        <sz val="10"/>
        <color rgb="FF000000"/>
        <rFont val="Calibri"/>
        <family val="2"/>
        <scheme val="minor"/>
      </rPr>
      <t xml:space="preserve"> dateStart.</t>
    </r>
  </si>
  <si>
    <r>
      <t xml:space="preserve">For each fixedDateRange where dateEnd and dateStart are not Null and dateEnd </t>
    </r>
    <r>
      <rPr>
        <sz val="10"/>
        <color rgb="FFFF0000"/>
        <rFont val="Calibri"/>
        <family val="2"/>
        <scheme val="minor"/>
      </rPr>
      <t>precedes or coincides with</t>
    </r>
    <r>
      <rPr>
        <sz val="10"/>
        <color rgb="FF000000"/>
        <rFont val="Calibri"/>
        <family val="2"/>
        <scheme val="minor"/>
      </rPr>
      <t xml:space="preserve"> dateStart.</t>
    </r>
  </si>
  <si>
    <t>If there is no schemaLocation attribute on the root element of the dataset or the schemaLocation attribute does not indicate the GML schema for this edition of the Product Specification.</t>
  </si>
  <si>
    <t>Schema location missing or incorrect</t>
  </si>
  <si>
    <t>Amend dataset to use correct schemaLocation</t>
  </si>
  <si>
    <t>Reference to S-100 languages list added.</t>
  </si>
  <si>
    <t>For each DataCoverage feature where the value of  the attribute minimum display scale is different from other DataCoverage meta features.</t>
  </si>
  <si>
    <t>[7.3]; [4.3.4]</t>
  </si>
  <si>
    <t>[7.3]; [4.3.1]</t>
  </si>
  <si>
    <t>Explicit statement should be added to PS</t>
  </si>
  <si>
    <t>2.4.7</t>
  </si>
  <si>
    <t>Sanity check</t>
  </si>
  <si>
    <t>Redundancy check</t>
  </si>
  <si>
    <t>Condition updated. Redundancy check</t>
  </si>
  <si>
    <t>Redundancy check.</t>
  </si>
  <si>
    <t>[6.1, 6.2, 7.9.3]</t>
  </si>
  <si>
    <t>[7.3]; [2.6.3]</t>
  </si>
  <si>
    <t>Redundancy check. Modified to include associations</t>
  </si>
  <si>
    <t>4.5.1, 4.6.1</t>
  </si>
  <si>
    <t>7.9.1</t>
  </si>
  <si>
    <t>[7.4]; [2.6.10]</t>
  </si>
  <si>
    <t>2.4.8.5</t>
  </si>
  <si>
    <t>11.5.2</t>
  </si>
  <si>
    <t>6.14.3</t>
  </si>
  <si>
    <t>14.2.2</t>
  </si>
  <si>
    <t>Review whether all of bollard number, metre mark number, manifold number, and ramp number are appropriate.</t>
  </si>
  <si>
    <t>Redundancy check?</t>
  </si>
  <si>
    <t xml:space="preserve"> An update dataset changes the limit of a DataCoverage feature for the base dataset.</t>
  </si>
  <si>
    <t>Update cannot change limits of coverages</t>
  </si>
  <si>
    <t>Amend DataCoverage object or create new edition</t>
  </si>
  <si>
    <t>For each information attribute where fileReference references a text file and the fileLocator attribute is populated.</t>
  </si>
  <si>
    <t>File locators are not used with text files</t>
  </si>
  <si>
    <t>Amend fileReference or use HTML support file</t>
  </si>
  <si>
    <t>File locator does not reference a location in the file</t>
  </si>
  <si>
    <t>For each fileLocator with a value that does not indicate a location within the referenced file.</t>
  </si>
  <si>
    <t>For each complex attribute rxNCode with none of its sub-attributes populated</t>
  </si>
  <si>
    <t>Amend fileLocator value</t>
  </si>
  <si>
    <t>Delete or amend rxNCode</t>
  </si>
  <si>
    <t>For each complex attribute sourceIndication with none of its sub-attributes populated</t>
  </si>
  <si>
    <t>Delete or amend sourceIndication</t>
  </si>
  <si>
    <t>Complex attribute rxNCode must have at least one sub-attribute populated</t>
  </si>
  <si>
    <t>Complex attribute sourceIndication must have at least one sub-attribute populated</t>
  </si>
  <si>
    <t>6.9.6</t>
  </si>
  <si>
    <t>various</t>
  </si>
  <si>
    <t>For each attribute with the same values as another instance of the same attribute bound to the same feature, information type, or complex attribute</t>
  </si>
  <si>
    <t>Repeated attribute value</t>
  </si>
  <si>
    <t>Evaluate necessity for repetition and consider deletion of repeated instance</t>
  </si>
  <si>
    <t>[7.3]; [4.3.5]</t>
  </si>
  <si>
    <t>12.5.2</t>
  </si>
  <si>
    <t>11.7.2</t>
  </si>
  <si>
    <t>11.6.1</t>
  </si>
  <si>
    <t>2.4.10.3</t>
  </si>
  <si>
    <t>B,U</t>
  </si>
  <si>
    <t>Nilled attribute code populated with non-nil code value</t>
  </si>
  <si>
    <t>Amend value of code or remove nilling</t>
  </si>
  <si>
    <t>B.U</t>
  </si>
  <si>
    <t>For each nillable enumeration or codelist attribute where xsi:nil=true but attribute code is present and populated with a value &gt; 0</t>
  </si>
  <si>
    <t>For each nilled attribute without nilReason populated</t>
  </si>
  <si>
    <t>Populate nilReason for nilled attributes</t>
  </si>
  <si>
    <t>Requirement needs to be documented in DCEG</t>
  </si>
  <si>
    <t>Producers may further restrict allowed values of nilReason. Requirement needs to be added to DCEG</t>
  </si>
  <si>
    <t>Nilled attribute without nilReason populated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</si>
</sst>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15">
    <font>
      <sz val="11"/>
      <color theme="1"/>
      <name val="Calibri"/>
      <charset val="134"/>
      <scheme val="minor"/>
    </font>
    <font>
      <sz val="10"/>
      <name val="Calibri"/>
      <family val="2"/>
      <scheme val="minor"/>
    </font>
    <font>
      <sz val="10"/>
      <color rgb="FFFF0000"/>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i/>
      <sz val="12"/>
      <color theme="9" tint="-0.249977111117893"/>
      <name val="Calibri"/>
      <family val="2"/>
      <scheme val="minor"/>
    </font>
    <font>
      <sz val="11"/>
      <color rgb="FF9C6500"/>
      <name val="Calibri"/>
      <family val="2"/>
      <scheme val="minor"/>
    </font>
    <font>
      <sz val="11"/>
      <color rgb="FF006100"/>
      <name val="Calibri"/>
      <family val="2"/>
      <scheme val="minor"/>
    </font>
    <font>
      <i/>
      <sz val="12"/>
      <color theme="9" tint="-0.249977111117893"/>
      <name val="Calibri"/>
      <family val="2"/>
      <scheme val="minor"/>
    </font>
    <font>
      <sz val="10"/>
      <name val="Calibri"/>
      <family val="2"/>
      <scheme val="minor"/>
    </font>
    <font>
      <sz val="10"/>
      <color theme="1"/>
      <name val="Calibri"/>
      <family val="2"/>
      <scheme val="minor"/>
    </font>
    <font>
      <sz val="10"/>
      <color rgb="FF000000"/>
      <name val="Calibri"/>
      <family val="2"/>
      <scheme val="minor"/>
    </font>
    <font>
      <i/>
      <sz val="10"/>
      <color rgb="FF000000"/>
      <name val="Calibri"/>
      <family val="2"/>
      <scheme val="minor"/>
    </font>
    <font>
      <sz val="10"/>
      <color rgb="FFFF0000"/>
      <name val="Calibri"/>
      <family val="2"/>
      <scheme val="minor"/>
    </font>
  </fonts>
  <fills count="11">
    <fill>
      <patternFill patternType="none"/>
    </fill>
    <fill>
      <patternFill patternType="gray125"/>
    </fill>
    <fill>
      <patternFill patternType="solid">
        <fgColor theme="0" tint="-0.149876400036622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EB9C"/>
        <bgColor indexed="64"/>
      </patternFill>
    </fill>
    <fill>
      <patternFill patternType="solid">
        <fgColor rgb="FFC6EFCE"/>
        <bgColor indexed="64"/>
      </patternFill>
    </fill>
    <fill>
      <patternFill patternType="solid">
        <fgColor theme="0" tint="-0.14996795556505021"/>
        <bgColor indexed="64"/>
      </patternFill>
    </fill>
    <fill>
      <patternFill patternType="solid">
        <fgColor rgb="FFFFFFFF"/>
        <bgColor indexed="64"/>
      </patternFill>
    </fill>
  </fills>
  <borders count="2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theme="0" tint="-0.1498764000366222"/>
      </bottom>
      <diagonal/>
    </border>
    <border>
      <left/>
      <right/>
      <top style="thin">
        <color theme="0" tint="-0.1498764000366222"/>
      </top>
      <bottom style="thin">
        <color theme="0" tint="-0.1498764000366222"/>
      </bottom>
      <diagonal/>
    </border>
    <border>
      <left/>
      <right/>
      <top style="thin">
        <color theme="0" tint="-0.1498764000366222"/>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auto="1"/>
      </top>
      <bottom style="medium">
        <color rgb="FF000000"/>
      </bottom>
      <diagonal/>
    </border>
    <border>
      <left style="medium">
        <color rgb="FF000000"/>
      </left>
      <right style="medium">
        <color auto="1"/>
      </right>
      <top style="medium">
        <color auto="1"/>
      </top>
      <bottom style="medium">
        <color rgb="FF000000"/>
      </bottom>
      <diagonal/>
    </border>
    <border>
      <left style="medium">
        <color rgb="FF000000"/>
      </left>
      <right style="medium">
        <color auto="1"/>
      </right>
      <top style="medium">
        <color rgb="FF000000"/>
      </top>
      <bottom style="medium">
        <color rgb="FF000000"/>
      </bottom>
      <diagonal/>
    </border>
    <border>
      <left style="medium">
        <color auto="1"/>
      </left>
      <right style="medium">
        <color auto="1"/>
      </right>
      <top style="medium">
        <color auto="1"/>
      </top>
      <bottom/>
      <diagonal/>
    </border>
  </borders>
  <cellStyleXfs count="3">
    <xf numFmtId="0" fontId="0" fillId="0" borderId="0"/>
    <xf numFmtId="0" fontId="7" fillId="7" borderId="0" applyNumberFormat="0" applyBorder="0" applyAlignment="0" applyProtection="0"/>
    <xf numFmtId="0" fontId="8" fillId="8" borderId="0" applyNumberFormat="0" applyBorder="0" applyAlignment="0" applyProtection="0"/>
  </cellStyleXfs>
  <cellXfs count="128">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wrapText="1"/>
    </xf>
    <xf numFmtId="0" fontId="1"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3" fillId="0" borderId="0" xfId="0" applyFont="1"/>
    <xf numFmtId="0" fontId="0" fillId="0" borderId="0" xfId="0" applyAlignment="1">
      <alignment horizontal="right" vertical="center"/>
    </xf>
    <xf numFmtId="0" fontId="0" fillId="0" borderId="0" xfId="0" applyAlignment="1">
      <alignment horizontal="right"/>
    </xf>
    <xf numFmtId="0" fontId="5" fillId="4" borderId="7" xfId="0" applyFont="1" applyFill="1" applyBorder="1" applyAlignment="1">
      <alignment horizontal="right" vertical="center"/>
    </xf>
    <xf numFmtId="0" fontId="6" fillId="3" borderId="0" xfId="0" applyFont="1" applyFill="1" applyAlignment="1">
      <alignment horizontal="left" vertical="center"/>
    </xf>
    <xf numFmtId="0" fontId="3" fillId="3" borderId="0" xfId="0" applyFont="1" applyFill="1"/>
    <xf numFmtId="0" fontId="6" fillId="3" borderId="0" xfId="0" applyFont="1" applyFill="1" applyAlignment="1">
      <alignment horizontal="center" vertical="center"/>
    </xf>
    <xf numFmtId="165" fontId="6" fillId="3" borderId="0" xfId="0" applyNumberFormat="1" applyFont="1" applyFill="1" applyAlignment="1">
      <alignment horizontal="center" vertical="center"/>
    </xf>
    <xf numFmtId="164" fontId="6" fillId="3" borderId="0" xfId="0" applyNumberFormat="1" applyFont="1" applyFill="1" applyAlignment="1">
      <alignment horizontal="center" vertical="center"/>
    </xf>
    <xf numFmtId="14" fontId="6" fillId="3" borderId="0" xfId="0" applyNumberFormat="1" applyFont="1" applyFill="1" applyAlignment="1">
      <alignment horizontal="center" vertical="center"/>
    </xf>
    <xf numFmtId="0" fontId="5" fillId="5" borderId="7" xfId="0" applyFont="1" applyFill="1" applyBorder="1" applyAlignment="1">
      <alignment horizontal="right" vertical="center"/>
    </xf>
    <xf numFmtId="0" fontId="5" fillId="5" borderId="0" xfId="0" applyFont="1" applyFill="1" applyAlignment="1">
      <alignment horizontal="center" vertical="center"/>
    </xf>
    <xf numFmtId="0" fontId="5" fillId="5" borderId="0" xfId="0" applyFont="1" applyFill="1"/>
    <xf numFmtId="0" fontId="6" fillId="3" borderId="8" xfId="0" applyFont="1" applyFill="1" applyBorder="1"/>
    <xf numFmtId="0" fontId="6" fillId="3" borderId="9" xfId="0" applyFont="1" applyFill="1" applyBorder="1" applyAlignment="1">
      <alignment horizontal="left" vertical="center"/>
    </xf>
    <xf numFmtId="0" fontId="6" fillId="3" borderId="0" xfId="0" applyFont="1" applyFill="1" applyAlignment="1">
      <alignment horizontal="left"/>
    </xf>
    <xf numFmtId="0" fontId="3" fillId="3" borderId="9" xfId="0" applyFont="1" applyFill="1" applyBorder="1" applyAlignment="1">
      <alignment horizontal="left"/>
    </xf>
    <xf numFmtId="0" fontId="3" fillId="3" borderId="9" xfId="0" applyFont="1" applyFill="1" applyBorder="1"/>
    <xf numFmtId="0" fontId="3" fillId="3" borderId="0" xfId="0" applyFont="1" applyFill="1" applyAlignment="1">
      <alignment horizontal="left"/>
    </xf>
    <xf numFmtId="0" fontId="3" fillId="3" borderId="11" xfId="0" applyFont="1" applyFill="1" applyBorder="1" applyAlignment="1">
      <alignment horizontal="right" vertical="center"/>
    </xf>
    <xf numFmtId="0" fontId="3" fillId="3" borderId="12" xfId="0" applyFont="1" applyFill="1" applyBorder="1" applyAlignment="1">
      <alignment horizontal="right"/>
    </xf>
    <xf numFmtId="0" fontId="3" fillId="3" borderId="12" xfId="0" applyFont="1" applyFill="1" applyBorder="1"/>
    <xf numFmtId="0" fontId="3" fillId="0" borderId="0" xfId="0" applyFont="1" applyAlignment="1">
      <alignment horizontal="right" vertical="center"/>
    </xf>
    <xf numFmtId="0" fontId="3" fillId="0" borderId="0" xfId="0" applyFont="1" applyAlignment="1">
      <alignment horizontal="right"/>
    </xf>
    <xf numFmtId="0" fontId="4" fillId="0" borderId="0" xfId="0" applyFont="1"/>
    <xf numFmtId="0" fontId="3" fillId="3" borderId="14" xfId="0" applyFont="1" applyFill="1" applyBorder="1"/>
    <xf numFmtId="0" fontId="5" fillId="6" borderId="0" xfId="0" applyFont="1" applyFill="1"/>
    <xf numFmtId="0" fontId="6" fillId="3" borderId="0" xfId="0" applyFont="1" applyFill="1"/>
    <xf numFmtId="0" fontId="6" fillId="3" borderId="9" xfId="0" applyFont="1" applyFill="1" applyBorder="1"/>
    <xf numFmtId="0" fontId="6" fillId="3" borderId="10" xfId="0" applyFont="1" applyFill="1" applyBorder="1"/>
    <xf numFmtId="0" fontId="3" fillId="3" borderId="15" xfId="0" applyFont="1" applyFill="1" applyBorder="1"/>
    <xf numFmtId="49" fontId="9" fillId="3" borderId="0" xfId="0" applyNumberFormat="1" applyFont="1" applyFill="1" applyAlignment="1">
      <alignment horizontal="center"/>
    </xf>
    <xf numFmtId="0" fontId="9" fillId="3" borderId="8" xfId="0" applyFont="1" applyFill="1" applyBorder="1"/>
    <xf numFmtId="0" fontId="10" fillId="0" borderId="3" xfId="0" applyFont="1" applyBorder="1" applyAlignment="1">
      <alignment horizontal="center" vertical="center" wrapText="1"/>
    </xf>
    <xf numFmtId="0" fontId="10" fillId="0" borderId="0" xfId="0" applyFont="1" applyAlignment="1">
      <alignment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0" fillId="0" borderId="0" xfId="0" applyFont="1"/>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9" borderId="1" xfId="0" applyFont="1" applyFill="1" applyBorder="1" applyAlignment="1">
      <alignment vertical="center" wrapText="1"/>
    </xf>
    <xf numFmtId="0" fontId="10" fillId="0" borderId="0" xfId="0" applyFont="1" applyAlignment="1">
      <alignment vertical="center"/>
    </xf>
    <xf numFmtId="0" fontId="10" fillId="9" borderId="1" xfId="0" applyFont="1" applyFill="1" applyBorder="1" applyAlignment="1">
      <alignment horizontal="center" vertical="center" wrapText="1"/>
    </xf>
    <xf numFmtId="0" fontId="10" fillId="0" borderId="0" xfId="0" applyFont="1" applyAlignment="1">
      <alignment horizontal="center"/>
    </xf>
    <xf numFmtId="0" fontId="9" fillId="3" borderId="0" xfId="0" applyFont="1" applyFill="1" applyAlignment="1">
      <alignment horizontal="left" vertical="center"/>
    </xf>
    <xf numFmtId="0" fontId="9" fillId="3" borderId="10" xfId="0" applyFont="1" applyFill="1" applyBorder="1" applyAlignment="1">
      <alignment horizontal="left"/>
    </xf>
    <xf numFmtId="0" fontId="9" fillId="3" borderId="0" xfId="0" applyFont="1" applyFill="1"/>
    <xf numFmtId="0" fontId="10" fillId="0" borderId="3" xfId="0" applyFont="1" applyBorder="1" applyAlignment="1">
      <alignment horizontal="left" vertical="center" wrapText="1"/>
    </xf>
    <xf numFmtId="49" fontId="10" fillId="0" borderId="3" xfId="1" applyNumberFormat="1" applyFont="1" applyFill="1" applyBorder="1" applyAlignment="1">
      <alignment horizontal="left" vertical="center" wrapText="1"/>
    </xf>
    <xf numFmtId="0" fontId="10" fillId="0" borderId="18" xfId="0" applyFont="1" applyBorder="1" applyAlignment="1">
      <alignment wrapText="1"/>
    </xf>
    <xf numFmtId="0" fontId="10" fillId="0" borderId="0" xfId="0" applyFont="1" applyAlignment="1">
      <alignment horizontal="left" wrapText="1"/>
    </xf>
    <xf numFmtId="0" fontId="11" fillId="0" borderId="0" xfId="0" applyFont="1" applyAlignment="1">
      <alignment wrapText="1"/>
    </xf>
    <xf numFmtId="0" fontId="10" fillId="2" borderId="2" xfId="0" applyFont="1" applyFill="1" applyBorder="1" applyAlignment="1">
      <alignment horizontal="center" vertical="center" wrapText="1"/>
    </xf>
    <xf numFmtId="0" fontId="12" fillId="10" borderId="18" xfId="0" applyFont="1" applyFill="1" applyBorder="1" applyAlignment="1">
      <alignment horizontal="justify" vertical="center" wrapText="1"/>
    </xf>
    <xf numFmtId="0" fontId="12" fillId="10" borderId="19" xfId="0" applyFont="1" applyFill="1" applyBorder="1" applyAlignment="1">
      <alignment horizontal="justify" vertical="center" wrapText="1"/>
    </xf>
    <xf numFmtId="0" fontId="12" fillId="10" borderId="18" xfId="0" applyFont="1" applyFill="1" applyBorder="1" applyAlignment="1">
      <alignment horizontal="left" vertical="center" wrapText="1"/>
    </xf>
    <xf numFmtId="0" fontId="12" fillId="10" borderId="19" xfId="0" applyFont="1" applyFill="1" applyBorder="1" applyAlignment="1">
      <alignment horizontal="left" vertical="center" wrapText="1"/>
    </xf>
    <xf numFmtId="0" fontId="12" fillId="10" borderId="20" xfId="0" applyFont="1" applyFill="1" applyBorder="1" applyAlignment="1">
      <alignment horizontal="justify" vertical="center" wrapText="1"/>
    </xf>
    <xf numFmtId="0" fontId="10" fillId="2" borderId="1" xfId="0" applyFont="1" applyFill="1" applyBorder="1" applyAlignment="1">
      <alignment vertical="center" wrapText="1"/>
    </xf>
    <xf numFmtId="0" fontId="11" fillId="10" borderId="19" xfId="0" applyFont="1" applyFill="1" applyBorder="1" applyAlignment="1">
      <alignment horizontal="justify" vertical="center" wrapText="1"/>
    </xf>
    <xf numFmtId="0" fontId="11" fillId="9" borderId="0" xfId="0" applyFont="1" applyFill="1" applyAlignment="1">
      <alignment wrapText="1"/>
    </xf>
    <xf numFmtId="0" fontId="14" fillId="10" borderId="19" xfId="0" applyFont="1" applyFill="1" applyBorder="1" applyAlignment="1">
      <alignment horizontal="justify" vertical="center" wrapText="1"/>
    </xf>
    <xf numFmtId="0" fontId="10" fillId="0" borderId="21" xfId="0" applyFont="1" applyBorder="1" applyAlignment="1">
      <alignment horizontal="left" vertical="center" wrapText="1"/>
    </xf>
    <xf numFmtId="0" fontId="10" fillId="0" borderId="18" xfId="0" applyFont="1" applyBorder="1" applyAlignment="1">
      <alignment horizontal="left" vertical="center" wrapText="1"/>
    </xf>
    <xf numFmtId="0" fontId="10" fillId="0" borderId="18" xfId="1" applyFont="1" applyFill="1" applyBorder="1" applyAlignment="1">
      <alignment horizontal="left" vertical="center" wrapText="1"/>
    </xf>
    <xf numFmtId="49" fontId="10" fillId="0" borderId="18" xfId="0" applyNumberFormat="1" applyFont="1" applyBorder="1" applyAlignment="1">
      <alignment horizontal="left" vertical="center" wrapText="1"/>
    </xf>
    <xf numFmtId="49" fontId="10" fillId="0" borderId="18" xfId="1" applyNumberFormat="1" applyFont="1" applyFill="1" applyBorder="1" applyAlignment="1">
      <alignment horizontal="left" vertical="center" wrapText="1"/>
    </xf>
    <xf numFmtId="0" fontId="10" fillId="0" borderId="18" xfId="2" applyFont="1" applyFill="1" applyBorder="1" applyAlignment="1">
      <alignment horizontal="left" vertical="center" wrapText="1"/>
    </xf>
    <xf numFmtId="0" fontId="10" fillId="0" borderId="18" xfId="0" applyFont="1" applyBorder="1" applyAlignment="1">
      <alignment horizontal="left"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3" xfId="0" applyFont="1" applyBorder="1" applyAlignment="1">
      <alignment horizontal="center" vertical="center"/>
    </xf>
    <xf numFmtId="0" fontId="10" fillId="0" borderId="23" xfId="0" applyFont="1" applyBorder="1" applyAlignment="1">
      <alignment horizontal="center"/>
    </xf>
    <xf numFmtId="0" fontId="10" fillId="2" borderId="24" xfId="0" applyFont="1" applyFill="1" applyBorder="1" applyAlignment="1">
      <alignment vertical="center" wrapText="1"/>
    </xf>
    <xf numFmtId="0" fontId="10" fillId="9" borderId="24" xfId="0" applyFont="1" applyFill="1" applyBorder="1" applyAlignment="1">
      <alignment vertical="center" wrapText="1"/>
    </xf>
    <xf numFmtId="0" fontId="10" fillId="0" borderId="1" xfId="0" applyFont="1" applyBorder="1"/>
    <xf numFmtId="0" fontId="12" fillId="10" borderId="1" xfId="0" applyFont="1" applyFill="1" applyBorder="1" applyAlignment="1">
      <alignment horizontal="justify" vertical="center" wrapText="1"/>
    </xf>
    <xf numFmtId="0" fontId="11" fillId="0" borderId="1" xfId="0" applyFont="1" applyBorder="1" applyAlignment="1">
      <alignment wrapText="1"/>
    </xf>
    <xf numFmtId="0" fontId="10" fillId="0" borderId="1" xfId="0" applyFont="1" applyBorder="1" applyAlignment="1">
      <alignment wrapText="1"/>
    </xf>
    <xf numFmtId="0" fontId="11" fillId="0" borderId="1" xfId="0" applyFont="1" applyBorder="1" applyAlignment="1">
      <alignment horizontal="justify" vertical="center" wrapText="1"/>
    </xf>
    <xf numFmtId="0" fontId="14" fillId="0" borderId="1" xfId="0" applyFont="1" applyBorder="1" applyAlignment="1">
      <alignment wrapText="1"/>
    </xf>
    <xf numFmtId="0" fontId="10" fillId="0" borderId="1" xfId="0" applyFont="1" applyBorder="1" applyAlignment="1">
      <alignment horizontal="justify" vertical="center" wrapText="1"/>
    </xf>
    <xf numFmtId="0" fontId="1" fillId="0" borderId="1" xfId="0" applyFont="1" applyBorder="1" applyAlignment="1">
      <alignment wrapText="1"/>
    </xf>
    <xf numFmtId="0" fontId="1" fillId="0" borderId="1" xfId="0" applyFont="1" applyBorder="1"/>
    <xf numFmtId="0" fontId="1"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9" borderId="1" xfId="0" applyFont="1" applyFill="1" applyBorder="1" applyAlignment="1">
      <alignment wrapText="1"/>
    </xf>
    <xf numFmtId="0" fontId="1" fillId="0" borderId="1"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1" fillId="10" borderId="1" xfId="0" applyFont="1" applyFill="1" applyBorder="1" applyAlignment="1">
      <alignment horizontal="justify" vertical="center" wrapText="1"/>
    </xf>
    <xf numFmtId="0" fontId="1"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1" applyFont="1" applyFill="1" applyBorder="1" applyAlignment="1">
      <alignment horizontal="left" vertical="center" wrapText="1"/>
    </xf>
    <xf numFmtId="49" fontId="10" fillId="0" borderId="1" xfId="0" applyNumberFormat="1" applyFont="1" applyBorder="1" applyAlignment="1">
      <alignment horizontal="left" vertical="center" wrapText="1"/>
    </xf>
    <xf numFmtId="49" fontId="10" fillId="0" borderId="1" xfId="1" applyNumberFormat="1" applyFont="1" applyFill="1" applyBorder="1" applyAlignment="1">
      <alignment horizontal="left" vertical="center" wrapText="1"/>
    </xf>
    <xf numFmtId="0" fontId="10" fillId="0" borderId="1" xfId="2" applyFont="1" applyFill="1" applyBorder="1" applyAlignment="1">
      <alignment horizontal="left" vertical="center" wrapText="1"/>
    </xf>
    <xf numFmtId="0" fontId="14" fillId="10" borderId="1" xfId="0" applyFont="1" applyFill="1" applyBorder="1" applyAlignment="1">
      <alignment horizontal="justify" vertical="center" wrapText="1"/>
    </xf>
    <xf numFmtId="0" fontId="2" fillId="0" borderId="1" xfId="0" applyFont="1" applyBorder="1" applyAlignment="1">
      <alignment horizontal="left" vertical="center" wrapText="1"/>
    </xf>
    <xf numFmtId="0" fontId="12" fillId="10" borderId="1" xfId="0" applyFont="1" applyFill="1" applyBorder="1" applyAlignment="1">
      <alignment horizontal="left" vertical="center" wrapText="1"/>
    </xf>
    <xf numFmtId="0" fontId="1" fillId="0" borderId="1" xfId="0" applyFont="1" applyBorder="1" applyAlignment="1">
      <alignment horizontal="center"/>
    </xf>
    <xf numFmtId="0" fontId="10" fillId="0" borderId="1" xfId="0" applyFont="1" applyBorder="1" applyAlignment="1">
      <alignment horizontal="left" wrapText="1"/>
    </xf>
    <xf numFmtId="0" fontId="10" fillId="0" borderId="1" xfId="0" applyFont="1" applyBorder="1" applyAlignment="1">
      <alignment horizontal="center"/>
    </xf>
    <xf numFmtId="0" fontId="14" fillId="0" borderId="1" xfId="0" applyFont="1" applyBorder="1" applyAlignment="1">
      <alignment horizontal="center"/>
    </xf>
    <xf numFmtId="0" fontId="10" fillId="10" borderId="1" xfId="0" applyFont="1" applyFill="1" applyBorder="1" applyAlignment="1">
      <alignment horizontal="justify" vertical="center" wrapText="1"/>
    </xf>
    <xf numFmtId="0" fontId="1" fillId="0" borderId="1" xfId="0" applyFont="1" applyBorder="1" applyAlignment="1">
      <alignment horizontal="left" vertical="center" wrapText="1"/>
    </xf>
    <xf numFmtId="0" fontId="2" fillId="10" borderId="1" xfId="0" applyFont="1" applyFill="1" applyBorder="1" applyAlignment="1">
      <alignment horizontal="justify" vertical="center" wrapText="1"/>
    </xf>
    <xf numFmtId="0" fontId="1" fillId="0" borderId="1" xfId="0" applyFont="1" applyBorder="1" applyAlignment="1">
      <alignment horizontal="left" wrapText="1"/>
    </xf>
    <xf numFmtId="0" fontId="2"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vertical="center"/>
    </xf>
    <xf numFmtId="0" fontId="10" fillId="0" borderId="1" xfId="0" applyFont="1" applyBorder="1" applyAlignment="1">
      <alignment vertical="center"/>
    </xf>
    <xf numFmtId="0" fontId="2" fillId="0" borderId="1" xfId="0" applyFont="1" applyBorder="1" applyAlignment="1">
      <alignment wrapText="1"/>
    </xf>
    <xf numFmtId="0" fontId="12" fillId="0" borderId="1" xfId="0" applyFont="1" applyBorder="1" applyAlignment="1">
      <alignment horizontal="justify" vertical="center" wrapText="1"/>
    </xf>
    <xf numFmtId="0" fontId="2" fillId="0" borderId="1" xfId="0" applyFont="1" applyBorder="1" applyAlignment="1">
      <alignment horizont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3" xfId="0" applyFont="1" applyFill="1" applyBorder="1" applyAlignment="1">
      <alignment horizontal="center" vertical="center"/>
    </xf>
    <xf numFmtId="0" fontId="5" fillId="5" borderId="7" xfId="0" applyFont="1" applyFill="1" applyBorder="1" applyAlignment="1">
      <alignment horizontal="right" vertical="center"/>
    </xf>
  </cellXfs>
  <cellStyles count="3">
    <cellStyle name="Good" xfId="2" builtinId="26"/>
    <cellStyle name="Neutral 2" xfId="1" xr:uid="{00000000-0005-0000-0000-00001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ydrographic-my.sharepoint.com/home/msa/&#26700;&#38754;/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workbookViewId="0">
      <selection activeCell="C20" sqref="C20"/>
    </sheetView>
  </sheetViews>
  <sheetFormatPr defaultColWidth="9" defaultRowHeight="15"/>
  <cols>
    <col min="1" max="1" width="4.85546875" customWidth="1"/>
    <col min="2" max="2" width="20.85546875" style="10" customWidth="1"/>
    <col min="3" max="3" width="36.42578125" style="11" customWidth="1"/>
    <col min="4" max="4" width="12.42578125" customWidth="1"/>
    <col min="5" max="6" width="14.7109375" customWidth="1"/>
    <col min="7" max="7" width="6.42578125" customWidth="1"/>
  </cols>
  <sheetData>
    <row r="2" spans="2:8" ht="33.6" customHeight="1">
      <c r="B2" s="124" t="s">
        <v>384</v>
      </c>
      <c r="C2" s="125"/>
      <c r="D2" s="125"/>
      <c r="E2" s="125"/>
      <c r="F2" s="125"/>
      <c r="G2" s="126"/>
      <c r="H2" s="33"/>
    </row>
    <row r="3" spans="2:8" s="9" customFormat="1" ht="20.45" customHeight="1">
      <c r="B3" s="12" t="s">
        <v>0</v>
      </c>
      <c r="C3" s="13" t="s">
        <v>32</v>
      </c>
      <c r="D3" s="14"/>
      <c r="E3" s="14"/>
      <c r="F3" s="14"/>
      <c r="G3" s="34"/>
    </row>
    <row r="4" spans="2:8" s="9" customFormat="1" ht="20.45" customHeight="1">
      <c r="B4" s="12" t="s">
        <v>1</v>
      </c>
      <c r="C4" s="53" t="s">
        <v>33</v>
      </c>
      <c r="D4" s="14"/>
      <c r="E4" s="14"/>
      <c r="F4" s="14"/>
      <c r="G4" s="34"/>
    </row>
    <row r="5" spans="2:8" s="9" customFormat="1" ht="20.45" customHeight="1">
      <c r="B5" s="12" t="s">
        <v>2</v>
      </c>
      <c r="C5" s="13" t="s">
        <v>3</v>
      </c>
      <c r="D5" s="14"/>
      <c r="E5" s="14"/>
      <c r="F5" s="14"/>
      <c r="G5" s="34"/>
    </row>
    <row r="6" spans="2:8" s="9" customFormat="1" ht="20.45" customHeight="1">
      <c r="B6" s="12" t="s">
        <v>4</v>
      </c>
      <c r="C6" s="15" t="s">
        <v>27</v>
      </c>
      <c r="D6" s="14"/>
      <c r="E6" s="14"/>
      <c r="F6" s="14"/>
      <c r="G6" s="34"/>
    </row>
    <row r="7" spans="2:8" s="9" customFormat="1" ht="20.45" customHeight="1">
      <c r="B7" s="12" t="s">
        <v>5</v>
      </c>
      <c r="C7" s="40" t="s">
        <v>31</v>
      </c>
      <c r="D7" s="14"/>
      <c r="E7" s="14"/>
      <c r="F7" s="14"/>
      <c r="G7" s="34"/>
    </row>
    <row r="8" spans="2:8" s="9" customFormat="1" ht="20.45" customHeight="1">
      <c r="B8" s="12" t="s">
        <v>6</v>
      </c>
      <c r="C8" s="16">
        <v>46028</v>
      </c>
      <c r="D8" s="14"/>
      <c r="E8" s="14"/>
      <c r="F8" s="14"/>
      <c r="G8" s="34"/>
    </row>
    <row r="9" spans="2:8" s="9" customFormat="1" ht="20.45" customHeight="1">
      <c r="B9" s="12" t="s">
        <v>7</v>
      </c>
      <c r="C9" s="17">
        <v>46023</v>
      </c>
      <c r="D9" s="14"/>
      <c r="E9" s="14"/>
      <c r="F9" s="14"/>
      <c r="G9" s="34"/>
    </row>
    <row r="10" spans="2:8" s="9" customFormat="1" ht="20.45" customHeight="1">
      <c r="B10" s="12" t="s">
        <v>8</v>
      </c>
      <c r="C10" s="18" t="s">
        <v>9</v>
      </c>
      <c r="D10" s="14"/>
      <c r="E10" s="14"/>
      <c r="F10" s="14"/>
      <c r="G10" s="34"/>
    </row>
    <row r="11" spans="2:8" s="9" customFormat="1" ht="20.45" customHeight="1">
      <c r="B11" s="12" t="s">
        <v>10</v>
      </c>
      <c r="C11" s="15" t="s">
        <v>34</v>
      </c>
      <c r="D11" s="14"/>
      <c r="E11" s="14"/>
      <c r="F11" s="14"/>
      <c r="G11" s="34"/>
    </row>
    <row r="12" spans="2:8" s="9" customFormat="1" ht="15" customHeight="1">
      <c r="B12" s="19"/>
      <c r="C12" s="20" t="s">
        <v>1</v>
      </c>
      <c r="D12" s="21" t="s">
        <v>11</v>
      </c>
      <c r="E12" s="35" t="s">
        <v>12</v>
      </c>
      <c r="F12" s="35"/>
      <c r="G12" s="34"/>
    </row>
    <row r="13" spans="2:8" s="9" customFormat="1" ht="20.45" customHeight="1">
      <c r="B13" s="127" t="s">
        <v>13</v>
      </c>
      <c r="C13" s="13" t="s">
        <v>35</v>
      </c>
      <c r="D13" s="41" t="s">
        <v>28</v>
      </c>
      <c r="E13" s="22"/>
      <c r="F13" s="36"/>
      <c r="G13" s="34"/>
    </row>
    <row r="14" spans="2:8" s="9" customFormat="1" ht="20.45" customHeight="1">
      <c r="B14" s="127"/>
      <c r="C14" s="23" t="s">
        <v>36</v>
      </c>
      <c r="D14" s="41" t="s">
        <v>28</v>
      </c>
      <c r="E14" s="37"/>
      <c r="F14" s="38"/>
      <c r="G14" s="34"/>
    </row>
    <row r="15" spans="2:8" s="9" customFormat="1" ht="20.45" customHeight="1">
      <c r="B15" s="127"/>
      <c r="C15" s="24" t="s">
        <v>37</v>
      </c>
      <c r="D15" s="41" t="s">
        <v>28</v>
      </c>
      <c r="E15" s="36"/>
      <c r="F15" s="37"/>
      <c r="G15" s="34"/>
    </row>
    <row r="16" spans="2:8" s="9" customFormat="1" ht="20.45" customHeight="1">
      <c r="B16" s="127"/>
      <c r="C16" s="54" t="s">
        <v>29</v>
      </c>
      <c r="D16" s="55" t="s">
        <v>30</v>
      </c>
      <c r="E16" s="26"/>
      <c r="F16" s="26"/>
      <c r="G16" s="34"/>
    </row>
    <row r="17" spans="2:7" s="9" customFormat="1" ht="20.45" customHeight="1">
      <c r="B17" s="127"/>
      <c r="C17" s="25"/>
      <c r="D17" s="26"/>
      <c r="E17" s="26"/>
      <c r="F17" s="26"/>
      <c r="G17" s="34"/>
    </row>
    <row r="18" spans="2:7" s="9" customFormat="1" ht="20.45" customHeight="1">
      <c r="B18" s="127"/>
      <c r="C18" s="27"/>
      <c r="D18" s="14"/>
      <c r="E18" s="14"/>
      <c r="F18" s="14"/>
      <c r="G18" s="34"/>
    </row>
    <row r="19" spans="2:7" s="9" customFormat="1" ht="20.45" customHeight="1">
      <c r="B19" s="28"/>
      <c r="C19" s="29"/>
      <c r="D19" s="30"/>
      <c r="E19" s="30"/>
      <c r="F19" s="30"/>
      <c r="G19" s="39"/>
    </row>
    <row r="20" spans="2:7" s="9" customFormat="1" ht="20.45" customHeight="1">
      <c r="B20" s="31"/>
      <c r="C20" s="32"/>
    </row>
  </sheetData>
  <mergeCells count="2">
    <mergeCell ref="B2:G2"/>
    <mergeCell ref="B13:B18"/>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103"/>
  <sheetViews>
    <sheetView tabSelected="1" topLeftCell="E1" zoomScale="110" zoomScaleNormal="110" workbookViewId="0">
      <pane ySplit="1" topLeftCell="A94" activePane="bottomLeft" state="frozen"/>
      <selection activeCell="B1" sqref="B1"/>
      <selection pane="bottomLeft" activeCell="E101" sqref="E101"/>
    </sheetView>
  </sheetViews>
  <sheetFormatPr defaultColWidth="10.85546875" defaultRowHeight="13.5" thickBottom="1"/>
  <cols>
    <col min="1" max="1" width="10.85546875" style="109"/>
    <col min="2" max="2" width="10.85546875" style="100"/>
    <col min="3" max="3" width="11.5703125" style="109" customWidth="1"/>
    <col min="4" max="4" width="42" style="87" customWidth="1"/>
    <col min="5" max="5" width="67.42578125" style="87" customWidth="1"/>
    <col min="6" max="6" width="35.7109375" style="87" customWidth="1"/>
    <col min="7" max="7" width="18.42578125" style="120" customWidth="1"/>
    <col min="8" max="8" width="13" style="111" customWidth="1"/>
    <col min="9" max="11" width="10.85546875" style="84"/>
    <col min="12" max="12" width="10.85546875" style="87"/>
    <col min="13" max="13" width="21" style="86" customWidth="1"/>
    <col min="14" max="14" width="10.85546875" style="5"/>
    <col min="15" max="16384" width="10.85546875" style="1"/>
  </cols>
  <sheetData>
    <row r="1" spans="1:18" ht="26.25" thickBot="1">
      <c r="A1" s="93" t="s">
        <v>14</v>
      </c>
      <c r="B1" s="93" t="s">
        <v>15</v>
      </c>
      <c r="C1" s="93" t="s">
        <v>16</v>
      </c>
      <c r="D1" s="94" t="s">
        <v>17</v>
      </c>
      <c r="E1" s="94" t="s">
        <v>18</v>
      </c>
      <c r="F1" s="94" t="s">
        <v>19</v>
      </c>
      <c r="G1" s="49" t="s">
        <v>20</v>
      </c>
      <c r="H1" s="51" t="s">
        <v>21</v>
      </c>
      <c r="I1" s="67" t="s">
        <v>22</v>
      </c>
      <c r="J1" s="67" t="s">
        <v>23</v>
      </c>
      <c r="K1" s="67" t="s">
        <v>24</v>
      </c>
      <c r="L1" s="49" t="s">
        <v>271</v>
      </c>
      <c r="M1" s="95" t="s">
        <v>285</v>
      </c>
      <c r="N1" s="43"/>
    </row>
    <row r="2" spans="1:18" ht="26.25" thickBot="1">
      <c r="A2" s="96" t="s">
        <v>291</v>
      </c>
      <c r="B2" s="96" t="str">
        <f>_xlfn.CONCAT("131_", TEXT(ROW()-1, "0000"))</f>
        <v>131_0001</v>
      </c>
      <c r="C2" s="96" t="s">
        <v>264</v>
      </c>
      <c r="D2" s="85" t="s">
        <v>109</v>
      </c>
      <c r="E2" s="85" t="s">
        <v>38</v>
      </c>
      <c r="F2" s="97" t="s">
        <v>192</v>
      </c>
      <c r="G2" s="85" t="s">
        <v>25</v>
      </c>
      <c r="H2" s="98">
        <v>7.3</v>
      </c>
      <c r="I2" s="87" t="s">
        <v>31</v>
      </c>
      <c r="L2" s="85" t="s">
        <v>267</v>
      </c>
      <c r="N2" s="43"/>
      <c r="O2" s="2"/>
      <c r="P2" s="2"/>
      <c r="Q2" s="2"/>
      <c r="R2" s="2"/>
    </row>
    <row r="3" spans="1:18" ht="26.25" hidden="1" thickBot="1">
      <c r="A3" s="96" t="s">
        <v>292</v>
      </c>
      <c r="B3" s="96" t="str">
        <f t="shared" ref="B3:B66" si="0">_xlfn.CONCAT("131_", TEXT(ROW()-1, "0000"))</f>
        <v>131_0002</v>
      </c>
      <c r="C3" s="96" t="s">
        <v>264</v>
      </c>
      <c r="D3" s="85" t="s">
        <v>110</v>
      </c>
      <c r="E3" s="85" t="s">
        <v>39</v>
      </c>
      <c r="F3" s="97" t="s">
        <v>193</v>
      </c>
      <c r="G3" s="99"/>
      <c r="H3" s="98"/>
      <c r="I3" s="87" t="s">
        <v>31</v>
      </c>
      <c r="K3" s="92" t="s">
        <v>26</v>
      </c>
      <c r="L3" s="85" t="s">
        <v>268</v>
      </c>
      <c r="M3" s="89" t="s">
        <v>388</v>
      </c>
      <c r="N3" s="43"/>
    </row>
    <row r="4" spans="1:18" ht="39" thickBot="1">
      <c r="A4" s="96" t="s">
        <v>293</v>
      </c>
      <c r="B4" s="96" t="str">
        <f t="shared" si="0"/>
        <v>131_0003</v>
      </c>
      <c r="C4" s="100" t="s">
        <v>264</v>
      </c>
      <c r="D4" s="85" t="s">
        <v>111</v>
      </c>
      <c r="E4" s="85" t="s">
        <v>40</v>
      </c>
      <c r="F4" s="97" t="s">
        <v>194</v>
      </c>
      <c r="G4" s="85" t="s">
        <v>280</v>
      </c>
      <c r="H4" s="96" t="s">
        <v>467</v>
      </c>
      <c r="I4" s="87" t="s">
        <v>31</v>
      </c>
      <c r="L4" s="85" t="s">
        <v>268</v>
      </c>
      <c r="N4" s="43"/>
    </row>
    <row r="5" spans="1:18" ht="26.25" thickBot="1">
      <c r="A5" s="96" t="s">
        <v>294</v>
      </c>
      <c r="B5" s="96" t="str">
        <f t="shared" si="0"/>
        <v>131_0004</v>
      </c>
      <c r="C5" s="100" t="s">
        <v>264</v>
      </c>
      <c r="D5" s="85" t="s">
        <v>112</v>
      </c>
      <c r="E5" s="85" t="s">
        <v>41</v>
      </c>
      <c r="F5" s="97" t="s">
        <v>195</v>
      </c>
      <c r="G5" s="85" t="s">
        <v>280</v>
      </c>
      <c r="H5" s="96" t="s">
        <v>428</v>
      </c>
      <c r="I5" s="87" t="s">
        <v>31</v>
      </c>
      <c r="L5" s="85" t="s">
        <v>268</v>
      </c>
      <c r="N5" s="43"/>
    </row>
    <row r="6" spans="1:18" ht="26.25" thickBot="1">
      <c r="A6" s="96" t="s">
        <v>295</v>
      </c>
      <c r="B6" s="96" t="str">
        <f t="shared" si="0"/>
        <v>131_0005</v>
      </c>
      <c r="C6" s="100" t="s">
        <v>264</v>
      </c>
      <c r="D6" s="85" t="s">
        <v>113</v>
      </c>
      <c r="E6" s="85" t="s">
        <v>426</v>
      </c>
      <c r="F6" s="97" t="s">
        <v>196</v>
      </c>
      <c r="G6" s="85" t="s">
        <v>263</v>
      </c>
      <c r="H6" s="96" t="s">
        <v>427</v>
      </c>
      <c r="I6" s="87" t="s">
        <v>31</v>
      </c>
      <c r="L6" s="85" t="s">
        <v>268</v>
      </c>
      <c r="N6" s="43"/>
    </row>
    <row r="7" spans="1:18" s="46" customFormat="1" ht="39" hidden="1" thickBot="1">
      <c r="A7" s="96" t="s">
        <v>296</v>
      </c>
      <c r="B7" s="96" t="str">
        <f t="shared" si="0"/>
        <v>131_0006</v>
      </c>
      <c r="C7" s="101" t="s">
        <v>264</v>
      </c>
      <c r="D7" s="85" t="s">
        <v>114</v>
      </c>
      <c r="E7" s="85" t="s">
        <v>42</v>
      </c>
      <c r="F7" s="102" t="s">
        <v>197</v>
      </c>
      <c r="G7" s="85" t="s">
        <v>25</v>
      </c>
      <c r="H7" s="98">
        <v>7.1</v>
      </c>
      <c r="I7" s="87" t="s">
        <v>31</v>
      </c>
      <c r="J7" s="87"/>
      <c r="K7" s="87" t="s">
        <v>26</v>
      </c>
      <c r="L7" s="85" t="s">
        <v>267</v>
      </c>
      <c r="M7" s="86" t="s">
        <v>289</v>
      </c>
      <c r="N7" s="43"/>
    </row>
    <row r="8" spans="1:18" s="46" customFormat="1" ht="26.25" thickBot="1">
      <c r="A8" s="96" t="s">
        <v>297</v>
      </c>
      <c r="B8" s="96" t="str">
        <f t="shared" si="0"/>
        <v>131_0007</v>
      </c>
      <c r="C8" s="101" t="s">
        <v>265</v>
      </c>
      <c r="D8" s="85" t="s">
        <v>115</v>
      </c>
      <c r="E8" s="85" t="s">
        <v>43</v>
      </c>
      <c r="F8" s="102" t="s">
        <v>198</v>
      </c>
      <c r="G8" s="85" t="s">
        <v>263</v>
      </c>
      <c r="H8" s="98" t="s">
        <v>272</v>
      </c>
      <c r="I8" s="87" t="s">
        <v>31</v>
      </c>
      <c r="J8" s="87"/>
      <c r="K8" s="87"/>
      <c r="L8" s="85" t="s">
        <v>267</v>
      </c>
      <c r="M8" s="86"/>
      <c r="N8" s="43"/>
    </row>
    <row r="9" spans="1:18" ht="26.25" hidden="1" thickBot="1">
      <c r="A9" s="96" t="s">
        <v>298</v>
      </c>
      <c r="B9" s="96" t="str">
        <f t="shared" si="0"/>
        <v>131_0008</v>
      </c>
      <c r="C9" s="100" t="s">
        <v>264</v>
      </c>
      <c r="D9" s="85" t="s">
        <v>116</v>
      </c>
      <c r="E9" s="85" t="s">
        <v>44</v>
      </c>
      <c r="F9" s="97" t="s">
        <v>199</v>
      </c>
      <c r="G9" s="85" t="s">
        <v>280</v>
      </c>
      <c r="H9" s="98">
        <v>4.2</v>
      </c>
      <c r="I9" s="87" t="s">
        <v>31</v>
      </c>
      <c r="J9" s="87"/>
      <c r="K9" s="87" t="s">
        <v>26</v>
      </c>
      <c r="L9" s="85" t="s">
        <v>269</v>
      </c>
      <c r="M9" s="86" t="s">
        <v>289</v>
      </c>
    </row>
    <row r="10" spans="1:18" ht="26.25" thickBot="1">
      <c r="A10" s="96" t="s">
        <v>299</v>
      </c>
      <c r="B10" s="96" t="str">
        <f t="shared" si="0"/>
        <v>131_0009</v>
      </c>
      <c r="C10" s="100" t="s">
        <v>266</v>
      </c>
      <c r="D10" s="85" t="s">
        <v>117</v>
      </c>
      <c r="E10" s="85" t="s">
        <v>45</v>
      </c>
      <c r="F10" s="97" t="s">
        <v>200</v>
      </c>
      <c r="G10" s="85" t="s">
        <v>25</v>
      </c>
      <c r="H10" s="98" t="s">
        <v>273</v>
      </c>
      <c r="I10" s="87" t="s">
        <v>31</v>
      </c>
      <c r="J10" s="87"/>
      <c r="K10" s="87"/>
      <c r="L10" s="85" t="s">
        <v>269</v>
      </c>
    </row>
    <row r="11" spans="1:18" ht="26.25" thickBot="1">
      <c r="A11" s="96" t="s">
        <v>300</v>
      </c>
      <c r="B11" s="96" t="str">
        <f t="shared" si="0"/>
        <v>131_0010</v>
      </c>
      <c r="C11" s="100" t="s">
        <v>266</v>
      </c>
      <c r="D11" s="85" t="s">
        <v>118</v>
      </c>
      <c r="E11" s="85" t="s">
        <v>46</v>
      </c>
      <c r="F11" s="97" t="s">
        <v>201</v>
      </c>
      <c r="G11" s="85" t="s">
        <v>280</v>
      </c>
      <c r="H11" s="96" t="s">
        <v>404</v>
      </c>
      <c r="I11" s="87" t="s">
        <v>31</v>
      </c>
      <c r="J11" s="87"/>
      <c r="K11" s="87"/>
      <c r="L11" s="85" t="s">
        <v>267</v>
      </c>
      <c r="M11" s="121" t="s">
        <v>429</v>
      </c>
      <c r="N11" s="43"/>
    </row>
    <row r="12" spans="1:18" ht="39" hidden="1" thickBot="1">
      <c r="A12" s="96" t="s">
        <v>301</v>
      </c>
      <c r="B12" s="96" t="str">
        <f t="shared" si="0"/>
        <v>131_0011</v>
      </c>
      <c r="C12" s="96" t="s">
        <v>264</v>
      </c>
      <c r="D12" s="85" t="s">
        <v>119</v>
      </c>
      <c r="E12" s="85" t="s">
        <v>47</v>
      </c>
      <c r="F12" s="103" t="s">
        <v>202</v>
      </c>
      <c r="G12" s="85" t="s">
        <v>280</v>
      </c>
      <c r="H12" s="98">
        <v>4.2</v>
      </c>
      <c r="I12" s="87" t="s">
        <v>31</v>
      </c>
      <c r="J12" s="87"/>
      <c r="K12" s="87" t="s">
        <v>26</v>
      </c>
      <c r="L12" s="85" t="s">
        <v>269</v>
      </c>
      <c r="M12" s="86" t="s">
        <v>289</v>
      </c>
      <c r="N12" s="43"/>
    </row>
    <row r="13" spans="1:18" s="46" customFormat="1" ht="26.25" hidden="1" thickBot="1">
      <c r="A13" s="96" t="s">
        <v>302</v>
      </c>
      <c r="B13" s="96" t="str">
        <f t="shared" si="0"/>
        <v>131_0012</v>
      </c>
      <c r="C13" s="101" t="s">
        <v>264</v>
      </c>
      <c r="D13" s="85" t="s">
        <v>120</v>
      </c>
      <c r="E13" s="85" t="s">
        <v>48</v>
      </c>
      <c r="F13" s="97" t="s">
        <v>203</v>
      </c>
      <c r="G13" s="85" t="s">
        <v>280</v>
      </c>
      <c r="H13" s="98">
        <v>4.2</v>
      </c>
      <c r="I13" s="87" t="s">
        <v>31</v>
      </c>
      <c r="J13" s="87"/>
      <c r="K13" s="87" t="s">
        <v>26</v>
      </c>
      <c r="L13" s="85" t="s">
        <v>269</v>
      </c>
      <c r="M13" s="86" t="s">
        <v>289</v>
      </c>
      <c r="N13" s="43"/>
    </row>
    <row r="14" spans="1:18" s="46" customFormat="1" ht="26.25" hidden="1" thickBot="1">
      <c r="A14" s="96" t="s">
        <v>303</v>
      </c>
      <c r="B14" s="96" t="str">
        <f t="shared" si="0"/>
        <v>131_0013</v>
      </c>
      <c r="C14" s="101" t="s">
        <v>264</v>
      </c>
      <c r="D14" s="97" t="s">
        <v>376</v>
      </c>
      <c r="E14" s="85" t="s">
        <v>49</v>
      </c>
      <c r="F14" s="97" t="s">
        <v>204</v>
      </c>
      <c r="G14" s="85"/>
      <c r="H14" s="98"/>
      <c r="I14" s="87" t="s">
        <v>31</v>
      </c>
      <c r="J14" s="87"/>
      <c r="K14" s="87" t="s">
        <v>26</v>
      </c>
      <c r="L14" s="85" t="s">
        <v>269</v>
      </c>
      <c r="M14" s="86" t="s">
        <v>378</v>
      </c>
      <c r="N14" s="43"/>
    </row>
    <row r="15" spans="1:18" ht="26.25" hidden="1" thickBot="1">
      <c r="A15" s="96" t="s">
        <v>304</v>
      </c>
      <c r="B15" s="96" t="str">
        <f t="shared" si="0"/>
        <v>131_0014</v>
      </c>
      <c r="C15" s="96" t="s">
        <v>264</v>
      </c>
      <c r="D15" s="85" t="s">
        <v>121</v>
      </c>
      <c r="E15" s="85" t="s">
        <v>50</v>
      </c>
      <c r="F15" s="104" t="s">
        <v>205</v>
      </c>
      <c r="G15" s="85" t="s">
        <v>280</v>
      </c>
      <c r="H15" s="98">
        <v>4.2</v>
      </c>
      <c r="I15" s="87" t="s">
        <v>31</v>
      </c>
      <c r="J15" s="87"/>
      <c r="K15" s="87" t="s">
        <v>26</v>
      </c>
      <c r="L15" s="85" t="s">
        <v>269</v>
      </c>
      <c r="M15" s="86" t="s">
        <v>289</v>
      </c>
      <c r="N15" s="43"/>
    </row>
    <row r="16" spans="1:18" s="46" customFormat="1" ht="26.25" hidden="1" thickBot="1">
      <c r="A16" s="96" t="s">
        <v>305</v>
      </c>
      <c r="B16" s="96" t="str">
        <f t="shared" si="0"/>
        <v>131_0015</v>
      </c>
      <c r="C16" s="98" t="s">
        <v>264</v>
      </c>
      <c r="D16" s="85" t="s">
        <v>122</v>
      </c>
      <c r="E16" s="85" t="s">
        <v>51</v>
      </c>
      <c r="F16" s="105" t="s">
        <v>206</v>
      </c>
      <c r="G16" s="85" t="s">
        <v>280</v>
      </c>
      <c r="H16" s="98">
        <v>4.2</v>
      </c>
      <c r="I16" s="87" t="s">
        <v>31</v>
      </c>
      <c r="J16" s="87"/>
      <c r="K16" s="87" t="s">
        <v>26</v>
      </c>
      <c r="L16" s="85" t="s">
        <v>269</v>
      </c>
      <c r="M16" s="86" t="s">
        <v>289</v>
      </c>
      <c r="N16" s="43"/>
    </row>
    <row r="17" spans="1:14" ht="26.25" hidden="1" thickBot="1">
      <c r="A17" s="96" t="s">
        <v>306</v>
      </c>
      <c r="B17" s="96" t="str">
        <f t="shared" si="0"/>
        <v>131_0016</v>
      </c>
      <c r="C17" s="96" t="s">
        <v>264</v>
      </c>
      <c r="D17" s="104" t="s">
        <v>123</v>
      </c>
      <c r="E17" s="85" t="s">
        <v>52</v>
      </c>
      <c r="F17" s="104" t="s">
        <v>207</v>
      </c>
      <c r="G17" s="85" t="s">
        <v>280</v>
      </c>
      <c r="H17" s="98">
        <v>4.2</v>
      </c>
      <c r="I17" s="87" t="s">
        <v>31</v>
      </c>
      <c r="J17" s="87"/>
      <c r="K17" s="87" t="s">
        <v>26</v>
      </c>
      <c r="L17" s="85" t="s">
        <v>270</v>
      </c>
      <c r="M17" s="86" t="s">
        <v>289</v>
      </c>
      <c r="N17" s="43"/>
    </row>
    <row r="18" spans="1:14" ht="26.25" hidden="1" thickBot="1">
      <c r="A18" s="96" t="s">
        <v>307</v>
      </c>
      <c r="B18" s="96" t="str">
        <f t="shared" si="0"/>
        <v>131_0017</v>
      </c>
      <c r="C18" s="96" t="s">
        <v>264</v>
      </c>
      <c r="D18" s="85" t="s">
        <v>124</v>
      </c>
      <c r="E18" s="85" t="s">
        <v>53</v>
      </c>
      <c r="F18" s="97" t="s">
        <v>208</v>
      </c>
      <c r="G18" s="85" t="s">
        <v>280</v>
      </c>
      <c r="H18" s="98">
        <v>4.2</v>
      </c>
      <c r="I18" s="87" t="s">
        <v>31</v>
      </c>
      <c r="K18" s="87" t="s">
        <v>26</v>
      </c>
      <c r="L18" s="85" t="s">
        <v>270</v>
      </c>
      <c r="M18" s="86" t="s">
        <v>289</v>
      </c>
      <c r="N18" s="43"/>
    </row>
    <row r="19" spans="1:14" ht="39" hidden="1" thickBot="1">
      <c r="A19" s="96" t="s">
        <v>308</v>
      </c>
      <c r="B19" s="96" t="str">
        <f t="shared" si="0"/>
        <v>131_0018</v>
      </c>
      <c r="C19" s="100" t="s">
        <v>265</v>
      </c>
      <c r="D19" s="85" t="s">
        <v>125</v>
      </c>
      <c r="E19" s="85" t="s">
        <v>54</v>
      </c>
      <c r="F19" s="97" t="s">
        <v>209</v>
      </c>
      <c r="G19" s="85" t="s">
        <v>25</v>
      </c>
      <c r="H19" s="98" t="s">
        <v>381</v>
      </c>
      <c r="I19" s="87" t="s">
        <v>31</v>
      </c>
      <c r="K19" s="87" t="s">
        <v>26</v>
      </c>
      <c r="L19" s="85" t="s">
        <v>269</v>
      </c>
      <c r="M19" s="86" t="s">
        <v>289</v>
      </c>
      <c r="N19" s="43"/>
    </row>
    <row r="20" spans="1:14" ht="26.25" thickBot="1">
      <c r="A20" s="96" t="s">
        <v>309</v>
      </c>
      <c r="B20" s="96" t="str">
        <f t="shared" si="0"/>
        <v>131_0019</v>
      </c>
      <c r="C20" s="96" t="s">
        <v>264</v>
      </c>
      <c r="D20" s="85" t="s">
        <v>126</v>
      </c>
      <c r="E20" s="85" t="s">
        <v>55</v>
      </c>
      <c r="F20" s="97" t="s">
        <v>210</v>
      </c>
      <c r="G20" s="85" t="s">
        <v>25</v>
      </c>
      <c r="H20" s="98" t="s">
        <v>274</v>
      </c>
      <c r="I20" s="87" t="s">
        <v>31</v>
      </c>
      <c r="L20" s="85" t="s">
        <v>269</v>
      </c>
      <c r="N20" s="43"/>
    </row>
    <row r="21" spans="1:14" ht="39" thickBot="1">
      <c r="A21" s="96" t="s">
        <v>310</v>
      </c>
      <c r="B21" s="96" t="str">
        <f t="shared" si="0"/>
        <v>131_0020</v>
      </c>
      <c r="C21" s="96" t="s">
        <v>264</v>
      </c>
      <c r="D21" s="85" t="s">
        <v>127</v>
      </c>
      <c r="E21" s="85" t="s">
        <v>385</v>
      </c>
      <c r="F21" s="97" t="s">
        <v>211</v>
      </c>
      <c r="G21" s="85" t="s">
        <v>263</v>
      </c>
      <c r="H21" s="96" t="s">
        <v>430</v>
      </c>
      <c r="I21" s="87" t="s">
        <v>31</v>
      </c>
      <c r="J21" s="84" t="s">
        <v>26</v>
      </c>
      <c r="L21" s="85" t="s">
        <v>269</v>
      </c>
      <c r="M21" s="86" t="s">
        <v>433</v>
      </c>
      <c r="N21" s="43"/>
    </row>
    <row r="22" spans="1:14" ht="39" thickBot="1">
      <c r="A22" s="96" t="s">
        <v>311</v>
      </c>
      <c r="B22" s="96" t="str">
        <f t="shared" si="0"/>
        <v>131_0021</v>
      </c>
      <c r="C22" s="96" t="s">
        <v>266</v>
      </c>
      <c r="D22" s="85" t="s">
        <v>128</v>
      </c>
      <c r="E22" s="85" t="s">
        <v>282</v>
      </c>
      <c r="F22" s="97" t="s">
        <v>212</v>
      </c>
      <c r="G22" s="85" t="s">
        <v>405</v>
      </c>
      <c r="H22" s="98"/>
      <c r="I22" s="87" t="s">
        <v>31</v>
      </c>
      <c r="L22" s="85" t="s">
        <v>269</v>
      </c>
      <c r="M22" s="86" t="s">
        <v>432</v>
      </c>
      <c r="N22" s="43"/>
    </row>
    <row r="23" spans="1:14" ht="51.75" thickBot="1">
      <c r="A23" s="96" t="s">
        <v>312</v>
      </c>
      <c r="B23" s="96" t="str">
        <f t="shared" si="0"/>
        <v>131_0022</v>
      </c>
      <c r="C23" s="101" t="s">
        <v>266</v>
      </c>
      <c r="D23" s="85" t="s">
        <v>129</v>
      </c>
      <c r="E23" s="85" t="s">
        <v>283</v>
      </c>
      <c r="F23" s="97" t="s">
        <v>213</v>
      </c>
      <c r="G23" s="85" t="s">
        <v>405</v>
      </c>
      <c r="H23" s="98"/>
      <c r="I23" s="87" t="s">
        <v>31</v>
      </c>
      <c r="L23" s="85" t="s">
        <v>269</v>
      </c>
      <c r="M23" s="86" t="s">
        <v>432</v>
      </c>
      <c r="N23" s="43"/>
    </row>
    <row r="24" spans="1:14" ht="26.25" thickBot="1">
      <c r="A24" s="96" t="s">
        <v>313</v>
      </c>
      <c r="B24" s="96" t="str">
        <f t="shared" si="0"/>
        <v>131_0023</v>
      </c>
      <c r="C24" s="100" t="s">
        <v>266</v>
      </c>
      <c r="D24" s="85" t="s">
        <v>130</v>
      </c>
      <c r="E24" s="106" t="s">
        <v>288</v>
      </c>
      <c r="F24" s="97" t="s">
        <v>214</v>
      </c>
      <c r="G24" s="85" t="s">
        <v>263</v>
      </c>
      <c r="H24" s="98" t="s">
        <v>275</v>
      </c>
      <c r="I24" s="87" t="s">
        <v>31</v>
      </c>
      <c r="J24" s="84" t="s">
        <v>26</v>
      </c>
      <c r="L24" s="85" t="s">
        <v>269</v>
      </c>
      <c r="M24" s="86" t="s">
        <v>290</v>
      </c>
      <c r="N24" s="43"/>
    </row>
    <row r="25" spans="1:14" ht="39" thickBot="1">
      <c r="A25" s="96" t="s">
        <v>314</v>
      </c>
      <c r="B25" s="96" t="str">
        <f t="shared" si="0"/>
        <v>131_0024</v>
      </c>
      <c r="C25" s="100" t="s">
        <v>266</v>
      </c>
      <c r="D25" s="97" t="s">
        <v>182</v>
      </c>
      <c r="E25" s="85" t="s">
        <v>56</v>
      </c>
      <c r="F25" s="97" t="s">
        <v>215</v>
      </c>
      <c r="G25" s="122" t="s">
        <v>405</v>
      </c>
      <c r="H25" s="98"/>
      <c r="I25" s="87" t="s">
        <v>31</v>
      </c>
      <c r="L25" s="85" t="s">
        <v>269</v>
      </c>
      <c r="M25" s="86" t="s">
        <v>434</v>
      </c>
      <c r="N25" s="43"/>
    </row>
    <row r="26" spans="1:14" ht="26.25" thickBot="1">
      <c r="A26" s="96" t="s">
        <v>315</v>
      </c>
      <c r="B26" s="96" t="str">
        <f t="shared" si="0"/>
        <v>131_0025</v>
      </c>
      <c r="C26" s="100" t="s">
        <v>266</v>
      </c>
      <c r="D26" s="85" t="s">
        <v>131</v>
      </c>
      <c r="E26" s="85" t="s">
        <v>57</v>
      </c>
      <c r="F26" s="97" t="s">
        <v>216</v>
      </c>
      <c r="G26" s="85" t="s">
        <v>25</v>
      </c>
      <c r="H26" s="98" t="s">
        <v>276</v>
      </c>
      <c r="I26" s="87" t="s">
        <v>31</v>
      </c>
      <c r="L26" s="85" t="s">
        <v>269</v>
      </c>
      <c r="N26" s="43"/>
    </row>
    <row r="27" spans="1:14" ht="26.25" thickBot="1">
      <c r="A27" s="96" t="s">
        <v>316</v>
      </c>
      <c r="B27" s="96" t="str">
        <f t="shared" si="0"/>
        <v>131_0026</v>
      </c>
      <c r="C27" s="100" t="s">
        <v>266</v>
      </c>
      <c r="D27" s="85" t="s">
        <v>132</v>
      </c>
      <c r="E27" s="85" t="s">
        <v>58</v>
      </c>
      <c r="F27" s="97" t="s">
        <v>217</v>
      </c>
      <c r="G27" s="85" t="s">
        <v>25</v>
      </c>
      <c r="H27" s="98" t="s">
        <v>276</v>
      </c>
      <c r="I27" s="87" t="s">
        <v>31</v>
      </c>
      <c r="L27" s="85" t="s">
        <v>269</v>
      </c>
      <c r="N27" s="43"/>
    </row>
    <row r="28" spans="1:14" ht="39" thickBot="1">
      <c r="A28" s="96" t="s">
        <v>317</v>
      </c>
      <c r="B28" s="96" t="str">
        <f t="shared" si="0"/>
        <v>131_0027</v>
      </c>
      <c r="C28" s="96" t="s">
        <v>265</v>
      </c>
      <c r="D28" s="85" t="s">
        <v>133</v>
      </c>
      <c r="E28" s="106" t="s">
        <v>386</v>
      </c>
      <c r="F28" s="107" t="s">
        <v>406</v>
      </c>
      <c r="G28" s="85" t="s">
        <v>25</v>
      </c>
      <c r="H28" s="96" t="s">
        <v>435</v>
      </c>
      <c r="I28" s="87" t="s">
        <v>31</v>
      </c>
      <c r="J28" s="84" t="s">
        <v>26</v>
      </c>
      <c r="L28" s="85" t="s">
        <v>269</v>
      </c>
      <c r="M28" s="86" t="s">
        <v>387</v>
      </c>
      <c r="N28" s="43"/>
    </row>
    <row r="29" spans="1:14" ht="26.25" hidden="1" thickBot="1">
      <c r="A29" s="96" t="s">
        <v>318</v>
      </c>
      <c r="B29" s="96" t="str">
        <f t="shared" si="0"/>
        <v>131_0028</v>
      </c>
      <c r="C29" s="100" t="s">
        <v>264</v>
      </c>
      <c r="D29" s="85" t="s">
        <v>134</v>
      </c>
      <c r="E29" s="85" t="s">
        <v>59</v>
      </c>
      <c r="F29" s="97" t="s">
        <v>218</v>
      </c>
      <c r="G29" s="85" t="s">
        <v>280</v>
      </c>
      <c r="H29" s="96" t="s">
        <v>436</v>
      </c>
      <c r="I29" s="87" t="s">
        <v>31</v>
      </c>
      <c r="K29" s="84" t="s">
        <v>26</v>
      </c>
      <c r="L29" s="85" t="s">
        <v>267</v>
      </c>
      <c r="M29" s="86" t="s">
        <v>389</v>
      </c>
      <c r="N29" s="43"/>
    </row>
    <row r="30" spans="1:14" s="46" customFormat="1" ht="39" hidden="1" thickBot="1">
      <c r="A30" s="96" t="s">
        <v>319</v>
      </c>
      <c r="B30" s="96" t="str">
        <f t="shared" si="0"/>
        <v>131_0029</v>
      </c>
      <c r="C30" s="98" t="s">
        <v>265</v>
      </c>
      <c r="D30" s="97" t="s">
        <v>135</v>
      </c>
      <c r="E30" s="85" t="s">
        <v>60</v>
      </c>
      <c r="F30" s="97" t="s">
        <v>219</v>
      </c>
      <c r="G30" s="85" t="s">
        <v>25</v>
      </c>
      <c r="H30" s="98">
        <v>4.2</v>
      </c>
      <c r="I30" s="87" t="s">
        <v>31</v>
      </c>
      <c r="J30" s="84"/>
      <c r="K30" s="87" t="s">
        <v>26</v>
      </c>
      <c r="L30" s="85" t="s">
        <v>269</v>
      </c>
      <c r="M30" s="86" t="s">
        <v>289</v>
      </c>
      <c r="N30" s="43"/>
    </row>
    <row r="31" spans="1:14" s="46" customFormat="1" ht="39" thickBot="1">
      <c r="A31" s="96" t="s">
        <v>320</v>
      </c>
      <c r="B31" s="96" t="str">
        <f t="shared" si="0"/>
        <v>131_0030</v>
      </c>
      <c r="C31" s="101" t="s">
        <v>264</v>
      </c>
      <c r="D31" s="108" t="s">
        <v>377</v>
      </c>
      <c r="E31" s="85" t="s">
        <v>390</v>
      </c>
      <c r="F31" s="97" t="s">
        <v>220</v>
      </c>
      <c r="G31" s="85" t="s">
        <v>405</v>
      </c>
      <c r="H31" s="98"/>
      <c r="I31" s="87" t="s">
        <v>31</v>
      </c>
      <c r="J31" s="84" t="s">
        <v>26</v>
      </c>
      <c r="K31" s="84"/>
      <c r="L31" s="85" t="s">
        <v>270</v>
      </c>
      <c r="M31" s="86" t="s">
        <v>437</v>
      </c>
      <c r="N31" s="43"/>
    </row>
    <row r="32" spans="1:14" ht="26.25" hidden="1" thickBot="1">
      <c r="A32" s="96" t="s">
        <v>321</v>
      </c>
      <c r="B32" s="96" t="str">
        <f t="shared" si="0"/>
        <v>131_0031</v>
      </c>
      <c r="C32" s="100" t="s">
        <v>264</v>
      </c>
      <c r="D32" s="108" t="s">
        <v>136</v>
      </c>
      <c r="E32" s="85" t="s">
        <v>61</v>
      </c>
      <c r="F32" s="97" t="s">
        <v>221</v>
      </c>
      <c r="G32" s="85" t="s">
        <v>280</v>
      </c>
      <c r="H32" s="101">
        <v>4.2</v>
      </c>
      <c r="I32" s="84" t="s">
        <v>31</v>
      </c>
      <c r="K32" s="87" t="s">
        <v>26</v>
      </c>
      <c r="L32" s="85" t="s">
        <v>269</v>
      </c>
      <c r="M32" s="86" t="s">
        <v>289</v>
      </c>
      <c r="N32" s="43"/>
    </row>
    <row r="33" spans="1:13" ht="26.25" hidden="1" thickBot="1">
      <c r="A33" s="96" t="s">
        <v>322</v>
      </c>
      <c r="B33" s="96" t="str">
        <f t="shared" si="0"/>
        <v>131_0032</v>
      </c>
      <c r="C33" s="109" t="s">
        <v>264</v>
      </c>
      <c r="D33" s="108" t="s">
        <v>137</v>
      </c>
      <c r="E33" s="85" t="s">
        <v>62</v>
      </c>
      <c r="F33" s="110" t="s">
        <v>222</v>
      </c>
      <c r="G33" s="85" t="s">
        <v>280</v>
      </c>
      <c r="H33" s="111">
        <v>4.2</v>
      </c>
      <c r="I33" s="84" t="s">
        <v>31</v>
      </c>
      <c r="K33" s="87" t="s">
        <v>26</v>
      </c>
      <c r="L33" s="85" t="s">
        <v>269</v>
      </c>
      <c r="M33" s="86" t="s">
        <v>289</v>
      </c>
    </row>
    <row r="34" spans="1:13" ht="26.25" hidden="1" thickBot="1">
      <c r="A34" s="96" t="s">
        <v>323</v>
      </c>
      <c r="B34" s="96" t="str">
        <f t="shared" si="0"/>
        <v>131_0033</v>
      </c>
      <c r="C34" s="109" t="s">
        <v>264</v>
      </c>
      <c r="D34" s="87" t="s">
        <v>138</v>
      </c>
      <c r="E34" s="85" t="s">
        <v>63</v>
      </c>
      <c r="F34" s="110" t="s">
        <v>223</v>
      </c>
      <c r="G34" s="85" t="s">
        <v>280</v>
      </c>
      <c r="H34" s="111">
        <v>4.2</v>
      </c>
      <c r="I34" s="84" t="s">
        <v>31</v>
      </c>
      <c r="K34" s="87" t="s">
        <v>26</v>
      </c>
      <c r="L34" s="85" t="s">
        <v>269</v>
      </c>
      <c r="M34" s="86" t="s">
        <v>289</v>
      </c>
    </row>
    <row r="35" spans="1:13" ht="26.25" hidden="1" thickBot="1">
      <c r="A35" s="96" t="s">
        <v>324</v>
      </c>
      <c r="B35" s="96" t="str">
        <f t="shared" si="0"/>
        <v>131_0034</v>
      </c>
      <c r="C35" s="109" t="s">
        <v>264</v>
      </c>
      <c r="D35" s="87" t="s">
        <v>183</v>
      </c>
      <c r="E35" s="85" t="s">
        <v>64</v>
      </c>
      <c r="F35" s="110" t="s">
        <v>224</v>
      </c>
      <c r="G35" s="85" t="s">
        <v>280</v>
      </c>
      <c r="H35" s="111">
        <v>4.2</v>
      </c>
      <c r="I35" s="84" t="s">
        <v>31</v>
      </c>
      <c r="K35" s="87" t="s">
        <v>26</v>
      </c>
      <c r="L35" s="85" t="s">
        <v>269</v>
      </c>
      <c r="M35" s="86" t="s">
        <v>289</v>
      </c>
    </row>
    <row r="36" spans="1:13" ht="26.25" hidden="1" thickBot="1">
      <c r="A36" s="96" t="s">
        <v>325</v>
      </c>
      <c r="B36" s="96" t="str">
        <f t="shared" si="0"/>
        <v>131_0035</v>
      </c>
      <c r="C36" s="109" t="s">
        <v>265</v>
      </c>
      <c r="D36" s="85" t="s">
        <v>139</v>
      </c>
      <c r="E36" s="85" t="s">
        <v>65</v>
      </c>
      <c r="F36" s="110" t="s">
        <v>225</v>
      </c>
      <c r="G36" s="85"/>
      <c r="I36" s="84" t="s">
        <v>31</v>
      </c>
      <c r="K36" s="87" t="s">
        <v>26</v>
      </c>
      <c r="L36" s="85" t="s">
        <v>269</v>
      </c>
      <c r="M36" s="86" t="s">
        <v>289</v>
      </c>
    </row>
    <row r="37" spans="1:13" ht="26.25" hidden="1" thickBot="1">
      <c r="A37" s="96" t="s">
        <v>326</v>
      </c>
      <c r="B37" s="96" t="str">
        <f t="shared" si="0"/>
        <v>131_0036</v>
      </c>
      <c r="C37" s="109" t="s">
        <v>265</v>
      </c>
      <c r="D37" s="85" t="s">
        <v>140</v>
      </c>
      <c r="E37" s="85" t="s">
        <v>66</v>
      </c>
      <c r="F37" s="110" t="s">
        <v>225</v>
      </c>
      <c r="G37" s="85"/>
      <c r="I37" s="84" t="s">
        <v>31</v>
      </c>
      <c r="K37" s="87" t="s">
        <v>26</v>
      </c>
      <c r="L37" s="85" t="s">
        <v>269</v>
      </c>
      <c r="M37" s="86" t="s">
        <v>289</v>
      </c>
    </row>
    <row r="38" spans="1:13" ht="26.25" hidden="1" thickBot="1">
      <c r="A38" s="96" t="s">
        <v>327</v>
      </c>
      <c r="B38" s="96" t="str">
        <f t="shared" si="0"/>
        <v>131_0037</v>
      </c>
      <c r="C38" s="109" t="s">
        <v>265</v>
      </c>
      <c r="D38" s="85" t="s">
        <v>141</v>
      </c>
      <c r="E38" s="85" t="s">
        <v>67</v>
      </c>
      <c r="F38" s="110" t="s">
        <v>226</v>
      </c>
      <c r="G38" s="85"/>
      <c r="I38" s="84" t="s">
        <v>31</v>
      </c>
      <c r="K38" s="84" t="s">
        <v>26</v>
      </c>
      <c r="L38" s="85" t="s">
        <v>269</v>
      </c>
      <c r="M38" s="86" t="s">
        <v>289</v>
      </c>
    </row>
    <row r="39" spans="1:13" ht="26.25" hidden="1" thickBot="1">
      <c r="A39" s="96" t="s">
        <v>328</v>
      </c>
      <c r="B39" s="96" t="str">
        <f t="shared" si="0"/>
        <v>131_0038</v>
      </c>
      <c r="C39" s="109" t="s">
        <v>264</v>
      </c>
      <c r="D39" s="85" t="s">
        <v>142</v>
      </c>
      <c r="E39" s="85" t="s">
        <v>68</v>
      </c>
      <c r="F39" s="110" t="s">
        <v>227</v>
      </c>
      <c r="G39" s="85"/>
      <c r="I39" s="84" t="s">
        <v>31</v>
      </c>
      <c r="K39" s="84" t="s">
        <v>26</v>
      </c>
      <c r="L39" s="85" t="s">
        <v>269</v>
      </c>
      <c r="M39" s="86" t="s">
        <v>289</v>
      </c>
    </row>
    <row r="40" spans="1:13" ht="26.25" thickBot="1">
      <c r="A40" s="96" t="s">
        <v>329</v>
      </c>
      <c r="B40" s="96" t="str">
        <f t="shared" si="0"/>
        <v>131_0039</v>
      </c>
      <c r="C40" s="109" t="s">
        <v>264</v>
      </c>
      <c r="D40" s="85" t="s">
        <v>143</v>
      </c>
      <c r="E40" s="85" t="s">
        <v>69</v>
      </c>
      <c r="F40" s="110" t="s">
        <v>228</v>
      </c>
      <c r="G40" s="85" t="s">
        <v>25</v>
      </c>
      <c r="H40" s="98">
        <v>12.9</v>
      </c>
      <c r="I40" s="84" t="s">
        <v>31</v>
      </c>
      <c r="L40" s="85" t="s">
        <v>267</v>
      </c>
    </row>
    <row r="41" spans="1:13" ht="26.25" thickBot="1">
      <c r="A41" s="96" t="s">
        <v>330</v>
      </c>
      <c r="B41" s="96" t="str">
        <f t="shared" si="0"/>
        <v>131_0040</v>
      </c>
      <c r="C41" s="109" t="s">
        <v>264</v>
      </c>
      <c r="D41" s="85" t="s">
        <v>144</v>
      </c>
      <c r="E41" s="85" t="s">
        <v>70</v>
      </c>
      <c r="F41" s="110" t="s">
        <v>229</v>
      </c>
      <c r="G41" s="85" t="s">
        <v>25</v>
      </c>
      <c r="H41" s="98">
        <v>12.12</v>
      </c>
      <c r="I41" s="84" t="s">
        <v>31</v>
      </c>
      <c r="L41" s="85" t="s">
        <v>267</v>
      </c>
    </row>
    <row r="42" spans="1:13" ht="39" thickBot="1">
      <c r="A42" s="96" t="s">
        <v>331</v>
      </c>
      <c r="B42" s="96" t="str">
        <f t="shared" si="0"/>
        <v>131_0041</v>
      </c>
      <c r="C42" s="109" t="s">
        <v>264</v>
      </c>
      <c r="D42" s="85" t="s">
        <v>145</v>
      </c>
      <c r="E42" s="85" t="s">
        <v>71</v>
      </c>
      <c r="F42" s="110" t="s">
        <v>230</v>
      </c>
      <c r="G42" s="85" t="s">
        <v>25</v>
      </c>
      <c r="H42" s="98">
        <v>12.12</v>
      </c>
      <c r="I42" s="84" t="s">
        <v>31</v>
      </c>
      <c r="L42" s="85" t="s">
        <v>267</v>
      </c>
    </row>
    <row r="43" spans="1:13" ht="39" thickBot="1">
      <c r="A43" s="96" t="s">
        <v>332</v>
      </c>
      <c r="B43" s="96" t="str">
        <f t="shared" si="0"/>
        <v>131_0042</v>
      </c>
      <c r="C43" s="112" t="s">
        <v>266</v>
      </c>
      <c r="D43" s="85" t="s">
        <v>146</v>
      </c>
      <c r="E43" s="85" t="s">
        <v>72</v>
      </c>
      <c r="F43" s="110" t="s">
        <v>231</v>
      </c>
      <c r="G43" s="85" t="s">
        <v>263</v>
      </c>
      <c r="H43" s="96" t="s">
        <v>438</v>
      </c>
      <c r="I43" s="84" t="s">
        <v>31</v>
      </c>
      <c r="L43" s="85" t="s">
        <v>267</v>
      </c>
      <c r="M43" s="86" t="s">
        <v>379</v>
      </c>
    </row>
    <row r="44" spans="1:13" ht="26.25" thickBot="1">
      <c r="A44" s="96" t="s">
        <v>333</v>
      </c>
      <c r="B44" s="96" t="str">
        <f t="shared" si="0"/>
        <v>131_0043</v>
      </c>
      <c r="C44" s="109" t="s">
        <v>266</v>
      </c>
      <c r="D44" s="85" t="s">
        <v>147</v>
      </c>
      <c r="E44" s="85" t="s">
        <v>73</v>
      </c>
      <c r="F44" s="110" t="s">
        <v>232</v>
      </c>
      <c r="G44" s="85" t="s">
        <v>25</v>
      </c>
      <c r="H44" s="98">
        <v>12.1</v>
      </c>
      <c r="I44" s="84" t="s">
        <v>31</v>
      </c>
      <c r="L44" s="85" t="s">
        <v>269</v>
      </c>
    </row>
    <row r="45" spans="1:13" ht="26.25" hidden="1" thickBot="1">
      <c r="A45" s="96" t="s">
        <v>334</v>
      </c>
      <c r="B45" s="96" t="str">
        <f t="shared" si="0"/>
        <v>131_0044</v>
      </c>
      <c r="C45" s="109" t="s">
        <v>264</v>
      </c>
      <c r="D45" s="85" t="s">
        <v>148</v>
      </c>
      <c r="E45" s="85" t="s">
        <v>74</v>
      </c>
      <c r="F45" s="110" t="s">
        <v>233</v>
      </c>
      <c r="G45" s="85" t="s">
        <v>25</v>
      </c>
      <c r="H45" s="98">
        <v>4.2</v>
      </c>
      <c r="I45" s="84" t="s">
        <v>31</v>
      </c>
      <c r="K45" s="92" t="s">
        <v>26</v>
      </c>
      <c r="L45" s="85" t="s">
        <v>269</v>
      </c>
      <c r="M45" s="86" t="s">
        <v>407</v>
      </c>
    </row>
    <row r="46" spans="1:13" ht="39" thickBot="1">
      <c r="A46" s="96" t="s">
        <v>335</v>
      </c>
      <c r="B46" s="96" t="str">
        <f t="shared" si="0"/>
        <v>131_0045</v>
      </c>
      <c r="C46" s="109" t="s">
        <v>266</v>
      </c>
      <c r="D46" s="85" t="s">
        <v>149</v>
      </c>
      <c r="E46" s="85" t="s">
        <v>75</v>
      </c>
      <c r="F46" s="110" t="s">
        <v>234</v>
      </c>
      <c r="G46" s="115" t="s">
        <v>263</v>
      </c>
      <c r="H46" s="123" t="s">
        <v>471</v>
      </c>
      <c r="I46" s="84" t="s">
        <v>31</v>
      </c>
      <c r="L46" s="88" t="s">
        <v>269</v>
      </c>
      <c r="M46" s="86" t="s">
        <v>431</v>
      </c>
    </row>
    <row r="47" spans="1:13" ht="26.25" hidden="1" thickBot="1">
      <c r="A47" s="96" t="s">
        <v>336</v>
      </c>
      <c r="B47" s="96" t="str">
        <f t="shared" si="0"/>
        <v>131_0046</v>
      </c>
      <c r="C47" s="109" t="s">
        <v>264</v>
      </c>
      <c r="D47" s="85" t="s">
        <v>150</v>
      </c>
      <c r="E47" s="85" t="s">
        <v>76</v>
      </c>
      <c r="F47" s="110" t="s">
        <v>235</v>
      </c>
      <c r="G47" s="85"/>
      <c r="I47" s="84" t="s">
        <v>31</v>
      </c>
      <c r="K47" s="92" t="s">
        <v>26</v>
      </c>
      <c r="L47" s="88" t="s">
        <v>269</v>
      </c>
      <c r="M47" s="86" t="s">
        <v>408</v>
      </c>
    </row>
    <row r="48" spans="1:13" ht="26.25" thickBot="1">
      <c r="A48" s="96" t="s">
        <v>337</v>
      </c>
      <c r="B48" s="96" t="str">
        <f t="shared" si="0"/>
        <v>131_0047</v>
      </c>
      <c r="C48" s="109" t="s">
        <v>266</v>
      </c>
      <c r="D48" s="85" t="s">
        <v>151</v>
      </c>
      <c r="E48" s="85" t="s">
        <v>77</v>
      </c>
      <c r="F48" s="110" t="s">
        <v>236</v>
      </c>
      <c r="G48" s="85" t="s">
        <v>25</v>
      </c>
      <c r="H48" s="96" t="s">
        <v>439</v>
      </c>
      <c r="I48" s="84" t="s">
        <v>31</v>
      </c>
      <c r="L48" s="88" t="s">
        <v>269</v>
      </c>
    </row>
    <row r="49" spans="1:13" ht="26.25" thickBot="1">
      <c r="A49" s="96" t="s">
        <v>338</v>
      </c>
      <c r="B49" s="96" t="str">
        <f t="shared" si="0"/>
        <v>131_0048</v>
      </c>
      <c r="C49" s="109" t="s">
        <v>264</v>
      </c>
      <c r="D49" s="85" t="s">
        <v>152</v>
      </c>
      <c r="E49" s="85" t="s">
        <v>78</v>
      </c>
      <c r="F49" s="110" t="s">
        <v>237</v>
      </c>
      <c r="G49" s="85" t="s">
        <v>263</v>
      </c>
      <c r="H49" s="109" t="s">
        <v>470</v>
      </c>
      <c r="I49" s="84" t="s">
        <v>31</v>
      </c>
      <c r="L49" s="88" t="s">
        <v>269</v>
      </c>
      <c r="M49" s="86" t="s">
        <v>431</v>
      </c>
    </row>
    <row r="50" spans="1:13" ht="39" thickBot="1">
      <c r="A50" s="96" t="s">
        <v>339</v>
      </c>
      <c r="B50" s="96" t="str">
        <f t="shared" si="0"/>
        <v>131_0049</v>
      </c>
      <c r="C50" s="109" t="s">
        <v>264</v>
      </c>
      <c r="D50" s="85" t="s">
        <v>153</v>
      </c>
      <c r="E50" s="85" t="s">
        <v>79</v>
      </c>
      <c r="F50" s="110" t="s">
        <v>238</v>
      </c>
      <c r="G50" s="85" t="s">
        <v>263</v>
      </c>
      <c r="H50" s="109" t="s">
        <v>470</v>
      </c>
      <c r="I50" s="84" t="s">
        <v>31</v>
      </c>
      <c r="L50" s="88" t="s">
        <v>269</v>
      </c>
      <c r="M50" s="86" t="s">
        <v>431</v>
      </c>
    </row>
    <row r="51" spans="1:13" ht="39" hidden="1" thickBot="1">
      <c r="A51" s="96" t="s">
        <v>340</v>
      </c>
      <c r="B51" s="96" t="str">
        <f t="shared" si="0"/>
        <v>131_0050</v>
      </c>
      <c r="C51" s="109" t="s">
        <v>264</v>
      </c>
      <c r="D51" s="85" t="s">
        <v>154</v>
      </c>
      <c r="E51" s="85" t="s">
        <v>80</v>
      </c>
      <c r="F51" s="110" t="s">
        <v>239</v>
      </c>
      <c r="G51" s="85" t="s">
        <v>25</v>
      </c>
      <c r="H51" s="98" t="s">
        <v>277</v>
      </c>
      <c r="I51" s="84" t="s">
        <v>31</v>
      </c>
      <c r="K51" s="87" t="s">
        <v>26</v>
      </c>
      <c r="L51" s="88" t="s">
        <v>267</v>
      </c>
      <c r="M51" s="86" t="s">
        <v>380</v>
      </c>
    </row>
    <row r="52" spans="1:13" ht="26.25" thickBot="1">
      <c r="A52" s="96" t="s">
        <v>341</v>
      </c>
      <c r="B52" s="96" t="str">
        <f t="shared" si="0"/>
        <v>131_0051</v>
      </c>
      <c r="C52" s="109" t="s">
        <v>264</v>
      </c>
      <c r="D52" s="85" t="s">
        <v>155</v>
      </c>
      <c r="E52" s="85" t="s">
        <v>81</v>
      </c>
      <c r="F52" s="110" t="s">
        <v>240</v>
      </c>
      <c r="G52" s="85" t="s">
        <v>280</v>
      </c>
      <c r="H52" s="96" t="s">
        <v>440</v>
      </c>
      <c r="I52" s="84" t="s">
        <v>31</v>
      </c>
      <c r="L52" s="88" t="s">
        <v>269</v>
      </c>
    </row>
    <row r="53" spans="1:13" ht="26.25" thickBot="1">
      <c r="A53" s="96" t="s">
        <v>342</v>
      </c>
      <c r="B53" s="96" t="str">
        <f t="shared" si="0"/>
        <v>131_0052</v>
      </c>
      <c r="C53" s="109" t="s">
        <v>264</v>
      </c>
      <c r="D53" s="85" t="s">
        <v>420</v>
      </c>
      <c r="E53" s="85" t="s">
        <v>421</v>
      </c>
      <c r="F53" s="110" t="s">
        <v>241</v>
      </c>
      <c r="G53" s="115" t="s">
        <v>263</v>
      </c>
      <c r="H53" s="123" t="s">
        <v>471</v>
      </c>
      <c r="I53" s="84" t="s">
        <v>31</v>
      </c>
      <c r="L53" s="88" t="s">
        <v>269</v>
      </c>
      <c r="M53" s="86" t="s">
        <v>431</v>
      </c>
    </row>
    <row r="54" spans="1:13" ht="26.25" thickBot="1">
      <c r="A54" s="96" t="s">
        <v>343</v>
      </c>
      <c r="B54" s="96" t="str">
        <f t="shared" si="0"/>
        <v>131_0053</v>
      </c>
      <c r="C54" s="109" t="s">
        <v>264</v>
      </c>
      <c r="D54" s="85" t="s">
        <v>156</v>
      </c>
      <c r="E54" s="85" t="s">
        <v>82</v>
      </c>
      <c r="F54" s="110" t="s">
        <v>254</v>
      </c>
      <c r="G54" s="85" t="s">
        <v>280</v>
      </c>
      <c r="H54" s="98" t="s">
        <v>382</v>
      </c>
      <c r="I54" s="84" t="s">
        <v>31</v>
      </c>
      <c r="L54" s="88" t="s">
        <v>269</v>
      </c>
    </row>
    <row r="55" spans="1:13" ht="26.25" thickBot="1">
      <c r="A55" s="96" t="s">
        <v>344</v>
      </c>
      <c r="B55" s="96" t="str">
        <f t="shared" si="0"/>
        <v>131_0054</v>
      </c>
      <c r="C55" s="109" t="s">
        <v>264</v>
      </c>
      <c r="D55" s="85" t="s">
        <v>157</v>
      </c>
      <c r="E55" s="85" t="s">
        <v>83</v>
      </c>
      <c r="F55" s="110" t="s">
        <v>242</v>
      </c>
      <c r="G55" s="85" t="s">
        <v>405</v>
      </c>
      <c r="I55" s="84" t="s">
        <v>31</v>
      </c>
      <c r="L55" s="88" t="s">
        <v>269</v>
      </c>
      <c r="M55" s="86" t="s">
        <v>431</v>
      </c>
    </row>
    <row r="56" spans="1:13" ht="26.25" thickBot="1">
      <c r="A56" s="96" t="s">
        <v>345</v>
      </c>
      <c r="B56" s="96" t="str">
        <f t="shared" si="0"/>
        <v>131_0055</v>
      </c>
      <c r="C56" s="109" t="s">
        <v>264</v>
      </c>
      <c r="D56" s="85" t="s">
        <v>158</v>
      </c>
      <c r="E56" s="85" t="s">
        <v>84</v>
      </c>
      <c r="F56" s="110" t="s">
        <v>255</v>
      </c>
      <c r="G56" s="85" t="s">
        <v>263</v>
      </c>
      <c r="H56" s="109" t="s">
        <v>463</v>
      </c>
      <c r="I56" s="84" t="s">
        <v>31</v>
      </c>
      <c r="L56" s="88" t="s">
        <v>269</v>
      </c>
      <c r="M56" s="86" t="s">
        <v>431</v>
      </c>
    </row>
    <row r="57" spans="1:13" ht="26.25" thickBot="1">
      <c r="A57" s="96" t="s">
        <v>346</v>
      </c>
      <c r="B57" s="96" t="str">
        <f t="shared" si="0"/>
        <v>131_0056</v>
      </c>
      <c r="C57" s="109" t="s">
        <v>264</v>
      </c>
      <c r="D57" s="85" t="s">
        <v>159</v>
      </c>
      <c r="E57" s="85" t="s">
        <v>85</v>
      </c>
      <c r="F57" s="110" t="s">
        <v>256</v>
      </c>
      <c r="G57" s="85" t="s">
        <v>263</v>
      </c>
      <c r="H57" s="111">
        <v>19.14</v>
      </c>
      <c r="I57" s="84" t="s">
        <v>31</v>
      </c>
      <c r="L57" s="88" t="s">
        <v>269</v>
      </c>
    </row>
    <row r="58" spans="1:13" ht="26.25" thickBot="1">
      <c r="A58" s="96" t="s">
        <v>347</v>
      </c>
      <c r="B58" s="96" t="str">
        <f t="shared" si="0"/>
        <v>131_0057</v>
      </c>
      <c r="C58" s="111" t="s">
        <v>266</v>
      </c>
      <c r="D58" s="85" t="s">
        <v>160</v>
      </c>
      <c r="E58" s="85" t="s">
        <v>86</v>
      </c>
      <c r="F58" s="110" t="s">
        <v>243</v>
      </c>
      <c r="G58" s="85" t="s">
        <v>263</v>
      </c>
      <c r="H58" s="96" t="s">
        <v>441</v>
      </c>
      <c r="I58" s="84" t="s">
        <v>31</v>
      </c>
      <c r="L58" s="88" t="s">
        <v>269</v>
      </c>
    </row>
    <row r="59" spans="1:13" ht="26.25" thickBot="1">
      <c r="A59" s="96" t="s">
        <v>348</v>
      </c>
      <c r="B59" s="96" t="str">
        <f t="shared" si="0"/>
        <v>131_0058</v>
      </c>
      <c r="C59" s="109" t="s">
        <v>264</v>
      </c>
      <c r="D59" s="85" t="s">
        <v>161</v>
      </c>
      <c r="E59" s="85" t="s">
        <v>87</v>
      </c>
      <c r="F59" s="110" t="s">
        <v>244</v>
      </c>
      <c r="G59" s="85" t="s">
        <v>263</v>
      </c>
      <c r="H59" s="96" t="s">
        <v>442</v>
      </c>
      <c r="I59" s="84" t="s">
        <v>31</v>
      </c>
      <c r="L59" s="88" t="s">
        <v>269</v>
      </c>
    </row>
    <row r="60" spans="1:13" ht="64.5" hidden="1" thickBot="1">
      <c r="A60" s="96" t="s">
        <v>349</v>
      </c>
      <c r="B60" s="96" t="str">
        <f t="shared" si="0"/>
        <v>131_0059</v>
      </c>
      <c r="C60" s="109" t="s">
        <v>264</v>
      </c>
      <c r="D60" s="85" t="s">
        <v>184</v>
      </c>
      <c r="E60" s="108" t="s">
        <v>179</v>
      </c>
      <c r="F60" s="110" t="s">
        <v>257</v>
      </c>
      <c r="G60" s="85"/>
      <c r="I60" s="84" t="s">
        <v>31</v>
      </c>
      <c r="K60" s="84" t="s">
        <v>26</v>
      </c>
      <c r="L60" s="88" t="s">
        <v>269</v>
      </c>
      <c r="M60" s="86" t="s">
        <v>286</v>
      </c>
    </row>
    <row r="61" spans="1:13" ht="26.25" thickBot="1">
      <c r="A61" s="96" t="s">
        <v>350</v>
      </c>
      <c r="B61" s="96" t="str">
        <f t="shared" si="0"/>
        <v>131_0060</v>
      </c>
      <c r="C61" s="109" t="s">
        <v>264</v>
      </c>
      <c r="D61" s="85" t="s">
        <v>162</v>
      </c>
      <c r="E61" s="85" t="s">
        <v>180</v>
      </c>
      <c r="F61" s="110" t="s">
        <v>258</v>
      </c>
      <c r="G61" s="85" t="s">
        <v>263</v>
      </c>
      <c r="H61" s="111">
        <v>10.1</v>
      </c>
      <c r="I61" s="84" t="s">
        <v>31</v>
      </c>
      <c r="K61" s="87"/>
      <c r="L61" s="88" t="s">
        <v>269</v>
      </c>
    </row>
    <row r="62" spans="1:13" ht="39" thickBot="1">
      <c r="A62" s="96" t="s">
        <v>351</v>
      </c>
      <c r="B62" s="96" t="str">
        <f t="shared" si="0"/>
        <v>131_0061</v>
      </c>
      <c r="C62" s="109" t="s">
        <v>264</v>
      </c>
      <c r="D62" s="85" t="s">
        <v>163</v>
      </c>
      <c r="E62" s="85" t="s">
        <v>88</v>
      </c>
      <c r="F62" s="110" t="s">
        <v>259</v>
      </c>
      <c r="G62" s="85" t="s">
        <v>25</v>
      </c>
      <c r="H62" s="98">
        <v>12.13</v>
      </c>
      <c r="I62" s="84" t="s">
        <v>31</v>
      </c>
      <c r="K62" s="87"/>
      <c r="L62" s="88" t="s">
        <v>269</v>
      </c>
    </row>
    <row r="63" spans="1:13" ht="26.25" thickBot="1">
      <c r="A63" s="96" t="s">
        <v>352</v>
      </c>
      <c r="B63" s="96" t="str">
        <f t="shared" si="0"/>
        <v>131_0062</v>
      </c>
      <c r="C63" s="109" t="s">
        <v>266</v>
      </c>
      <c r="D63" s="85" t="s">
        <v>164</v>
      </c>
      <c r="E63" s="85" t="s">
        <v>284</v>
      </c>
      <c r="F63" s="110" t="s">
        <v>245</v>
      </c>
      <c r="G63" s="85" t="s">
        <v>263</v>
      </c>
      <c r="H63" s="98">
        <v>12.2</v>
      </c>
      <c r="I63" s="84" t="s">
        <v>31</v>
      </c>
      <c r="K63" s="87"/>
      <c r="L63" s="88" t="s">
        <v>269</v>
      </c>
    </row>
    <row r="64" spans="1:13" ht="26.25" thickBot="1">
      <c r="A64" s="96" t="s">
        <v>353</v>
      </c>
      <c r="B64" s="96" t="str">
        <f t="shared" si="0"/>
        <v>131_0063</v>
      </c>
      <c r="C64" s="109" t="s">
        <v>266</v>
      </c>
      <c r="D64" s="85" t="s">
        <v>165</v>
      </c>
      <c r="E64" s="85" t="s">
        <v>281</v>
      </c>
      <c r="F64" s="110" t="s">
        <v>246</v>
      </c>
      <c r="G64" s="85" t="s">
        <v>263</v>
      </c>
      <c r="H64" s="96" t="s">
        <v>468</v>
      </c>
      <c r="I64" s="84" t="s">
        <v>31</v>
      </c>
      <c r="K64" s="87"/>
      <c r="L64" s="88" t="s">
        <v>269</v>
      </c>
    </row>
    <row r="65" spans="1:13" ht="26.25" thickBot="1">
      <c r="A65" s="96" t="s">
        <v>354</v>
      </c>
      <c r="B65" s="96" t="str">
        <f t="shared" si="0"/>
        <v>131_0064</v>
      </c>
      <c r="C65" s="123" t="s">
        <v>266</v>
      </c>
      <c r="D65" s="85" t="s">
        <v>166</v>
      </c>
      <c r="E65" s="85" t="s">
        <v>181</v>
      </c>
      <c r="F65" s="110" t="s">
        <v>260</v>
      </c>
      <c r="G65" s="85" t="s">
        <v>263</v>
      </c>
      <c r="H65" s="109" t="s">
        <v>469</v>
      </c>
      <c r="I65" s="84" t="s">
        <v>31</v>
      </c>
      <c r="K65" s="87"/>
      <c r="L65" s="88" t="s">
        <v>269</v>
      </c>
    </row>
    <row r="66" spans="1:13" ht="26.25" thickBot="1">
      <c r="A66" s="96" t="s">
        <v>355</v>
      </c>
      <c r="B66" s="96" t="str">
        <f t="shared" si="0"/>
        <v>131_0065</v>
      </c>
      <c r="C66" s="109" t="s">
        <v>264</v>
      </c>
      <c r="D66" s="85" t="s">
        <v>167</v>
      </c>
      <c r="E66" s="85" t="s">
        <v>89</v>
      </c>
      <c r="F66" s="110" t="s">
        <v>261</v>
      </c>
      <c r="G66" s="85" t="s">
        <v>25</v>
      </c>
      <c r="H66" s="98">
        <v>12.13</v>
      </c>
      <c r="I66" s="84" t="s">
        <v>31</v>
      </c>
      <c r="K66" s="87"/>
      <c r="L66" s="88" t="s">
        <v>269</v>
      </c>
    </row>
    <row r="67" spans="1:13" ht="26.25" hidden="1" thickBot="1">
      <c r="A67" s="96" t="s">
        <v>356</v>
      </c>
      <c r="B67" s="96" t="str">
        <f t="shared" ref="B67:B103" si="1">_xlfn.CONCAT("131_", TEXT(ROW()-1, "0000"))</f>
        <v>131_0066</v>
      </c>
      <c r="C67" s="109" t="s">
        <v>264</v>
      </c>
      <c r="D67" s="85" t="s">
        <v>168</v>
      </c>
      <c r="E67" s="85" t="s">
        <v>90</v>
      </c>
      <c r="F67" s="110" t="s">
        <v>262</v>
      </c>
      <c r="G67" s="85"/>
      <c r="I67" s="84" t="s">
        <v>31</v>
      </c>
      <c r="K67" s="84" t="s">
        <v>26</v>
      </c>
      <c r="L67" s="88" t="s">
        <v>267</v>
      </c>
      <c r="M67" s="86" t="s">
        <v>383</v>
      </c>
    </row>
    <row r="68" spans="1:13" ht="26.25" thickBot="1">
      <c r="A68" s="96" t="s">
        <v>357</v>
      </c>
      <c r="B68" s="96" t="str">
        <f t="shared" si="1"/>
        <v>131_0067</v>
      </c>
      <c r="C68" s="109" t="s">
        <v>264</v>
      </c>
      <c r="D68" s="85" t="s">
        <v>169</v>
      </c>
      <c r="E68" s="85" t="s">
        <v>91</v>
      </c>
      <c r="F68" s="110" t="s">
        <v>247</v>
      </c>
      <c r="G68" s="85" t="s">
        <v>263</v>
      </c>
      <c r="H68" s="96" t="s">
        <v>443</v>
      </c>
      <c r="I68" s="84" t="s">
        <v>31</v>
      </c>
      <c r="L68" s="88" t="s">
        <v>269</v>
      </c>
    </row>
    <row r="69" spans="1:13" ht="26.25" thickBot="1">
      <c r="A69" s="96" t="s">
        <v>358</v>
      </c>
      <c r="B69" s="96" t="str">
        <f t="shared" si="1"/>
        <v>131_0068</v>
      </c>
      <c r="C69" s="109" t="s">
        <v>264</v>
      </c>
      <c r="D69" s="85" t="s">
        <v>170</v>
      </c>
      <c r="E69" s="85" t="s">
        <v>92</v>
      </c>
      <c r="F69" s="110" t="s">
        <v>248</v>
      </c>
      <c r="G69" s="85" t="s">
        <v>263</v>
      </c>
      <c r="H69" s="96" t="s">
        <v>443</v>
      </c>
      <c r="I69" s="84" t="s">
        <v>31</v>
      </c>
      <c r="L69" s="88" t="s">
        <v>267</v>
      </c>
    </row>
    <row r="70" spans="1:13" ht="39" thickBot="1">
      <c r="A70" s="96" t="s">
        <v>359</v>
      </c>
      <c r="B70" s="96" t="str">
        <f t="shared" si="1"/>
        <v>131_0069</v>
      </c>
      <c r="C70" s="109" t="s">
        <v>266</v>
      </c>
      <c r="D70" s="85" t="s">
        <v>171</v>
      </c>
      <c r="E70" s="85" t="s">
        <v>93</v>
      </c>
      <c r="F70" s="110" t="s">
        <v>249</v>
      </c>
      <c r="G70" s="85" t="s">
        <v>263</v>
      </c>
      <c r="H70" s="96" t="s">
        <v>443</v>
      </c>
      <c r="I70" s="84" t="s">
        <v>31</v>
      </c>
      <c r="L70" s="88" t="s">
        <v>267</v>
      </c>
    </row>
    <row r="71" spans="1:13" ht="26.25" thickBot="1">
      <c r="A71" s="96" t="s">
        <v>360</v>
      </c>
      <c r="B71" s="96" t="str">
        <f t="shared" si="1"/>
        <v>131_0070</v>
      </c>
      <c r="C71" s="109" t="s">
        <v>266</v>
      </c>
      <c r="D71" s="85" t="s">
        <v>172</v>
      </c>
      <c r="E71" s="85" t="s">
        <v>94</v>
      </c>
      <c r="F71" s="110" t="s">
        <v>250</v>
      </c>
      <c r="G71" s="85" t="s">
        <v>263</v>
      </c>
      <c r="H71" s="96" t="s">
        <v>444</v>
      </c>
      <c r="I71" s="84" t="s">
        <v>31</v>
      </c>
      <c r="L71" s="88" t="s">
        <v>269</v>
      </c>
    </row>
    <row r="72" spans="1:13" ht="26.25" thickBot="1">
      <c r="A72" s="96" t="s">
        <v>361</v>
      </c>
      <c r="B72" s="96" t="str">
        <f t="shared" si="1"/>
        <v>131_0071</v>
      </c>
      <c r="C72" s="109" t="s">
        <v>266</v>
      </c>
      <c r="D72" s="85" t="s">
        <v>173</v>
      </c>
      <c r="E72" s="85" t="s">
        <v>95</v>
      </c>
      <c r="F72" s="110" t="s">
        <v>250</v>
      </c>
      <c r="G72" s="85" t="s">
        <v>263</v>
      </c>
      <c r="H72" s="96" t="s">
        <v>444</v>
      </c>
      <c r="I72" s="84" t="s">
        <v>31</v>
      </c>
      <c r="L72" s="88" t="s">
        <v>269</v>
      </c>
    </row>
    <row r="73" spans="1:13" ht="26.25" thickBot="1">
      <c r="A73" s="96" t="s">
        <v>362</v>
      </c>
      <c r="B73" s="96" t="str">
        <f t="shared" si="1"/>
        <v>131_0072</v>
      </c>
      <c r="C73" s="109" t="s">
        <v>266</v>
      </c>
      <c r="D73" s="85" t="s">
        <v>174</v>
      </c>
      <c r="E73" s="85" t="s">
        <v>287</v>
      </c>
      <c r="F73" s="110" t="s">
        <v>251</v>
      </c>
      <c r="G73" s="85" t="s">
        <v>263</v>
      </c>
      <c r="H73" s="98" t="s">
        <v>279</v>
      </c>
      <c r="I73" s="84" t="s">
        <v>31</v>
      </c>
      <c r="J73" s="84" t="s">
        <v>26</v>
      </c>
      <c r="L73" s="88" t="s">
        <v>269</v>
      </c>
      <c r="M73" s="86" t="s">
        <v>425</v>
      </c>
    </row>
    <row r="74" spans="1:13" ht="26.25" hidden="1" thickBot="1">
      <c r="A74" s="96" t="s">
        <v>363</v>
      </c>
      <c r="B74" s="96" t="str">
        <f t="shared" si="1"/>
        <v>131_0073</v>
      </c>
      <c r="C74" s="109" t="s">
        <v>265</v>
      </c>
      <c r="D74" s="85" t="s">
        <v>185</v>
      </c>
      <c r="E74" s="85" t="s">
        <v>96</v>
      </c>
      <c r="F74" s="110" t="s">
        <v>252</v>
      </c>
      <c r="G74" s="85" t="s">
        <v>29</v>
      </c>
      <c r="I74" s="84" t="s">
        <v>31</v>
      </c>
      <c r="K74" s="84" t="s">
        <v>26</v>
      </c>
      <c r="L74" s="88" t="s">
        <v>269</v>
      </c>
      <c r="M74" s="86" t="s">
        <v>289</v>
      </c>
    </row>
    <row r="75" spans="1:13" ht="39" hidden="1" thickBot="1">
      <c r="A75" s="96" t="s">
        <v>364</v>
      </c>
      <c r="B75" s="96" t="str">
        <f t="shared" si="1"/>
        <v>131_0074</v>
      </c>
      <c r="C75" s="109" t="s">
        <v>265</v>
      </c>
      <c r="D75" s="85" t="s">
        <v>186</v>
      </c>
      <c r="E75" s="85" t="s">
        <v>97</v>
      </c>
      <c r="F75" s="110" t="s">
        <v>253</v>
      </c>
      <c r="G75" s="85" t="s">
        <v>29</v>
      </c>
      <c r="I75" s="84" t="s">
        <v>31</v>
      </c>
      <c r="K75" s="84" t="s">
        <v>26</v>
      </c>
      <c r="L75" s="88" t="s">
        <v>269</v>
      </c>
      <c r="M75" s="86" t="s">
        <v>289</v>
      </c>
    </row>
    <row r="76" spans="1:13" ht="26.25" hidden="1" thickBot="1">
      <c r="A76" s="96" t="s">
        <v>365</v>
      </c>
      <c r="B76" s="96" t="str">
        <f t="shared" si="1"/>
        <v>131_0075</v>
      </c>
      <c r="C76" s="109" t="s">
        <v>265</v>
      </c>
      <c r="D76" s="108" t="s">
        <v>175</v>
      </c>
      <c r="E76" s="85" t="s">
        <v>98</v>
      </c>
      <c r="F76" s="110" t="s">
        <v>253</v>
      </c>
      <c r="G76" s="85" t="s">
        <v>29</v>
      </c>
      <c r="I76" s="84" t="s">
        <v>31</v>
      </c>
      <c r="K76" s="84" t="s">
        <v>26</v>
      </c>
      <c r="L76" s="88" t="s">
        <v>269</v>
      </c>
      <c r="M76" s="86" t="s">
        <v>289</v>
      </c>
    </row>
    <row r="77" spans="1:13" ht="26.25" hidden="1" thickBot="1">
      <c r="A77" s="96" t="s">
        <v>366</v>
      </c>
      <c r="B77" s="96" t="str">
        <f t="shared" si="1"/>
        <v>131_0076</v>
      </c>
      <c r="C77" s="109" t="s">
        <v>265</v>
      </c>
      <c r="D77" s="108" t="s">
        <v>175</v>
      </c>
      <c r="E77" s="85" t="s">
        <v>99</v>
      </c>
      <c r="F77" s="110" t="s">
        <v>253</v>
      </c>
      <c r="G77" s="85" t="s">
        <v>29</v>
      </c>
      <c r="I77" s="84" t="s">
        <v>31</v>
      </c>
      <c r="K77" s="84" t="s">
        <v>26</v>
      </c>
      <c r="L77" s="88" t="s">
        <v>269</v>
      </c>
      <c r="M77" s="86" t="s">
        <v>289</v>
      </c>
    </row>
    <row r="78" spans="1:13" ht="26.25" hidden="1" thickBot="1">
      <c r="A78" s="96" t="s">
        <v>367</v>
      </c>
      <c r="B78" s="96" t="str">
        <f t="shared" si="1"/>
        <v>131_0077</v>
      </c>
      <c r="C78" s="109" t="s">
        <v>265</v>
      </c>
      <c r="D78" s="108" t="s">
        <v>176</v>
      </c>
      <c r="E78" s="85" t="s">
        <v>100</v>
      </c>
      <c r="F78" s="110" t="s">
        <v>253</v>
      </c>
      <c r="G78" s="85" t="s">
        <v>29</v>
      </c>
      <c r="I78" s="84" t="s">
        <v>31</v>
      </c>
      <c r="K78" s="84" t="s">
        <v>26</v>
      </c>
      <c r="L78" s="88" t="s">
        <v>269</v>
      </c>
      <c r="M78" s="86" t="s">
        <v>289</v>
      </c>
    </row>
    <row r="79" spans="1:13" ht="26.25" hidden="1" thickBot="1">
      <c r="A79" s="96" t="s">
        <v>368</v>
      </c>
      <c r="B79" s="96" t="str">
        <f t="shared" si="1"/>
        <v>131_0078</v>
      </c>
      <c r="C79" s="109" t="s">
        <v>265</v>
      </c>
      <c r="D79" s="108" t="s">
        <v>177</v>
      </c>
      <c r="E79" s="85" t="s">
        <v>101</v>
      </c>
      <c r="F79" s="110" t="s">
        <v>253</v>
      </c>
      <c r="G79" s="85" t="s">
        <v>29</v>
      </c>
      <c r="I79" s="84" t="s">
        <v>31</v>
      </c>
      <c r="K79" s="84" t="s">
        <v>26</v>
      </c>
      <c r="L79" s="88" t="s">
        <v>269</v>
      </c>
      <c r="M79" s="86" t="s">
        <v>289</v>
      </c>
    </row>
    <row r="80" spans="1:13" ht="26.25" hidden="1" thickBot="1">
      <c r="A80" s="96" t="s">
        <v>369</v>
      </c>
      <c r="B80" s="96" t="str">
        <f t="shared" si="1"/>
        <v>131_0079</v>
      </c>
      <c r="C80" s="109" t="s">
        <v>265</v>
      </c>
      <c r="D80" s="108" t="s">
        <v>175</v>
      </c>
      <c r="E80" s="85" t="s">
        <v>102</v>
      </c>
      <c r="F80" s="110" t="s">
        <v>253</v>
      </c>
      <c r="G80" s="85" t="s">
        <v>29</v>
      </c>
      <c r="I80" s="84" t="s">
        <v>31</v>
      </c>
      <c r="K80" s="84" t="s">
        <v>26</v>
      </c>
      <c r="L80" s="88" t="s">
        <v>269</v>
      </c>
      <c r="M80" s="86" t="s">
        <v>289</v>
      </c>
    </row>
    <row r="81" spans="1:13" ht="26.25" hidden="1" thickBot="1">
      <c r="A81" s="96" t="s">
        <v>370</v>
      </c>
      <c r="B81" s="96" t="str">
        <f t="shared" si="1"/>
        <v>131_0080</v>
      </c>
      <c r="C81" s="109" t="s">
        <v>265</v>
      </c>
      <c r="D81" s="108" t="s">
        <v>187</v>
      </c>
      <c r="E81" s="85" t="s">
        <v>103</v>
      </c>
      <c r="F81" s="110" t="s">
        <v>253</v>
      </c>
      <c r="G81" s="85" t="s">
        <v>29</v>
      </c>
      <c r="I81" s="84" t="s">
        <v>31</v>
      </c>
      <c r="K81" s="84" t="s">
        <v>26</v>
      </c>
      <c r="L81" s="88" t="s">
        <v>269</v>
      </c>
      <c r="M81" s="86" t="s">
        <v>289</v>
      </c>
    </row>
    <row r="82" spans="1:13" ht="26.25" hidden="1" thickBot="1">
      <c r="A82" s="96" t="s">
        <v>371</v>
      </c>
      <c r="B82" s="96" t="str">
        <f t="shared" si="1"/>
        <v>131_0081</v>
      </c>
      <c r="C82" s="109" t="s">
        <v>265</v>
      </c>
      <c r="D82" s="108" t="s">
        <v>188</v>
      </c>
      <c r="E82" s="85" t="s">
        <v>104</v>
      </c>
      <c r="F82" s="110" t="s">
        <v>253</v>
      </c>
      <c r="G82" s="85" t="s">
        <v>29</v>
      </c>
      <c r="I82" s="84" t="s">
        <v>31</v>
      </c>
      <c r="K82" s="84" t="s">
        <v>26</v>
      </c>
      <c r="L82" s="88" t="s">
        <v>269</v>
      </c>
      <c r="M82" s="86" t="s">
        <v>289</v>
      </c>
    </row>
    <row r="83" spans="1:13" ht="39" hidden="1" thickBot="1">
      <c r="A83" s="96" t="s">
        <v>372</v>
      </c>
      <c r="B83" s="96" t="str">
        <f t="shared" si="1"/>
        <v>131_0082</v>
      </c>
      <c r="C83" s="109" t="s">
        <v>265</v>
      </c>
      <c r="D83" s="108" t="s">
        <v>189</v>
      </c>
      <c r="E83" s="85" t="s">
        <v>105</v>
      </c>
      <c r="F83" s="110" t="s">
        <v>253</v>
      </c>
      <c r="G83" s="85" t="s">
        <v>29</v>
      </c>
      <c r="I83" s="84" t="s">
        <v>31</v>
      </c>
      <c r="K83" s="84" t="s">
        <v>26</v>
      </c>
      <c r="L83" s="88" t="s">
        <v>269</v>
      </c>
      <c r="M83" s="86" t="s">
        <v>289</v>
      </c>
    </row>
    <row r="84" spans="1:13" ht="39" hidden="1" thickBot="1">
      <c r="A84" s="96" t="s">
        <v>373</v>
      </c>
      <c r="B84" s="96" t="str">
        <f t="shared" si="1"/>
        <v>131_0083</v>
      </c>
      <c r="C84" s="109" t="s">
        <v>265</v>
      </c>
      <c r="D84" s="108" t="s">
        <v>190</v>
      </c>
      <c r="E84" s="85" t="s">
        <v>106</v>
      </c>
      <c r="F84" s="110" t="s">
        <v>253</v>
      </c>
      <c r="G84" s="85" t="s">
        <v>29</v>
      </c>
      <c r="I84" s="84" t="s">
        <v>31</v>
      </c>
      <c r="K84" s="84" t="s">
        <v>26</v>
      </c>
      <c r="L84" s="88" t="s">
        <v>269</v>
      </c>
      <c r="M84" s="86" t="s">
        <v>289</v>
      </c>
    </row>
    <row r="85" spans="1:13" ht="26.25" hidden="1" thickBot="1">
      <c r="A85" s="96" t="s">
        <v>374</v>
      </c>
      <c r="B85" s="96" t="str">
        <f t="shared" si="1"/>
        <v>131_0084</v>
      </c>
      <c r="C85" s="109" t="s">
        <v>265</v>
      </c>
      <c r="D85" s="108" t="s">
        <v>191</v>
      </c>
      <c r="E85" s="85" t="s">
        <v>107</v>
      </c>
      <c r="F85" s="110" t="s">
        <v>253</v>
      </c>
      <c r="G85" s="85" t="s">
        <v>29</v>
      </c>
      <c r="I85" s="84" t="s">
        <v>31</v>
      </c>
      <c r="K85" s="84" t="s">
        <v>26</v>
      </c>
      <c r="L85" s="88" t="s">
        <v>269</v>
      </c>
      <c r="M85" s="86" t="s">
        <v>289</v>
      </c>
    </row>
    <row r="86" spans="1:13" ht="39" thickBot="1">
      <c r="A86" s="96" t="s">
        <v>375</v>
      </c>
      <c r="B86" s="96" t="str">
        <f t="shared" si="1"/>
        <v>131_0085</v>
      </c>
      <c r="C86" s="109" t="s">
        <v>266</v>
      </c>
      <c r="D86" s="108" t="s">
        <v>178</v>
      </c>
      <c r="E86" s="85" t="s">
        <v>108</v>
      </c>
      <c r="F86" s="116" t="s">
        <v>445</v>
      </c>
      <c r="G86" s="85" t="s">
        <v>263</v>
      </c>
      <c r="H86" s="96" t="s">
        <v>462</v>
      </c>
      <c r="I86" s="84" t="s">
        <v>31</v>
      </c>
      <c r="L86" s="88" t="s">
        <v>267</v>
      </c>
      <c r="M86" s="86" t="s">
        <v>446</v>
      </c>
    </row>
    <row r="87" spans="1:13" ht="26.25" thickBot="1">
      <c r="A87" s="96" t="str">
        <f>_xlfn.CONCAT("131_ED2_", TEXT(ROW()-86,"000"))</f>
        <v>131_ED2_001</v>
      </c>
      <c r="B87" s="96" t="str">
        <f t="shared" si="1"/>
        <v>131_0086</v>
      </c>
      <c r="C87" s="109" t="s">
        <v>266</v>
      </c>
      <c r="D87" s="113" t="s">
        <v>391</v>
      </c>
      <c r="E87" s="113" t="s">
        <v>392</v>
      </c>
      <c r="F87" s="110" t="s">
        <v>393</v>
      </c>
      <c r="G87" s="113" t="s">
        <v>25</v>
      </c>
      <c r="H87" s="111">
        <v>7.6</v>
      </c>
      <c r="I87" s="84" t="s">
        <v>26</v>
      </c>
      <c r="K87" s="87"/>
      <c r="L87" s="90" t="s">
        <v>394</v>
      </c>
      <c r="M87" s="87"/>
    </row>
    <row r="88" spans="1:13" ht="39" thickBot="1">
      <c r="A88" s="96" t="str">
        <f t="shared" ref="A88:A103" si="2">_xlfn.CONCAT("131_ED2_", TEXT(ROW()-86,"000"))</f>
        <v>131_ED2_002</v>
      </c>
      <c r="B88" s="96" t="str">
        <f t="shared" si="1"/>
        <v>131_0087</v>
      </c>
      <c r="C88" s="109" t="s">
        <v>265</v>
      </c>
      <c r="D88" s="106" t="s">
        <v>395</v>
      </c>
      <c r="E88" s="85" t="s">
        <v>396</v>
      </c>
      <c r="F88" s="110" t="s">
        <v>397</v>
      </c>
      <c r="G88" s="85" t="s">
        <v>25</v>
      </c>
      <c r="H88" s="98">
        <v>7.5</v>
      </c>
      <c r="I88" s="84" t="s">
        <v>26</v>
      </c>
      <c r="J88" s="84" t="s">
        <v>26</v>
      </c>
      <c r="K88" s="87"/>
      <c r="L88" s="88" t="s">
        <v>394</v>
      </c>
    </row>
    <row r="89" spans="1:13" ht="26.25" thickBot="1">
      <c r="A89" s="96" t="str">
        <f t="shared" si="2"/>
        <v>131_ED2_003</v>
      </c>
      <c r="B89" s="96" t="str">
        <f t="shared" si="1"/>
        <v>131_0088</v>
      </c>
      <c r="C89" s="109" t="s">
        <v>266</v>
      </c>
      <c r="D89" s="85" t="s">
        <v>398</v>
      </c>
      <c r="E89" s="85" t="s">
        <v>399</v>
      </c>
      <c r="F89" s="110" t="s">
        <v>400</v>
      </c>
      <c r="G89" s="85" t="s">
        <v>25</v>
      </c>
      <c r="H89" s="98">
        <v>7.3</v>
      </c>
      <c r="I89" s="84" t="s">
        <v>26</v>
      </c>
      <c r="K89" s="87"/>
      <c r="L89" s="88" t="s">
        <v>268</v>
      </c>
    </row>
    <row r="90" spans="1:13" ht="26.25" thickBot="1">
      <c r="A90" s="96" t="str">
        <f t="shared" si="2"/>
        <v>131_ED2_004</v>
      </c>
      <c r="B90" s="96" t="str">
        <f t="shared" si="1"/>
        <v>131_0089</v>
      </c>
      <c r="C90" s="100" t="s">
        <v>264</v>
      </c>
      <c r="D90" s="85" t="s">
        <v>402</v>
      </c>
      <c r="E90" s="85" t="s">
        <v>403</v>
      </c>
      <c r="F90" s="114" t="s">
        <v>401</v>
      </c>
      <c r="G90" s="85" t="s">
        <v>25</v>
      </c>
      <c r="H90" s="96">
        <v>12.8</v>
      </c>
      <c r="I90" s="91" t="s">
        <v>26</v>
      </c>
      <c r="J90" s="92"/>
      <c r="K90" s="92"/>
      <c r="L90" s="85" t="s">
        <v>270</v>
      </c>
    </row>
    <row r="91" spans="1:13" ht="26.25" thickBot="1">
      <c r="A91" s="96" t="str">
        <f t="shared" si="2"/>
        <v>131_ED2_005</v>
      </c>
      <c r="B91" s="96" t="str">
        <f t="shared" si="1"/>
        <v>131_0090</v>
      </c>
      <c r="C91" s="96" t="s">
        <v>265</v>
      </c>
      <c r="D91" s="85" t="s">
        <v>409</v>
      </c>
      <c r="E91" s="85" t="s">
        <v>410</v>
      </c>
      <c r="F91" s="116" t="s">
        <v>411</v>
      </c>
      <c r="G91" s="85" t="s">
        <v>25</v>
      </c>
      <c r="H91" s="96">
        <v>13.1</v>
      </c>
      <c r="I91" s="92" t="s">
        <v>26</v>
      </c>
      <c r="L91" s="91" t="s">
        <v>405</v>
      </c>
    </row>
    <row r="92" spans="1:13" ht="26.25" thickBot="1">
      <c r="A92" s="96" t="str">
        <f t="shared" si="2"/>
        <v>131_ED2_006</v>
      </c>
      <c r="B92" s="96" t="str">
        <f t="shared" si="1"/>
        <v>131_0091</v>
      </c>
      <c r="C92" s="96" t="s">
        <v>265</v>
      </c>
      <c r="D92" s="85" t="s">
        <v>412</v>
      </c>
      <c r="E92" s="85" t="s">
        <v>413</v>
      </c>
      <c r="F92" s="116" t="s">
        <v>414</v>
      </c>
      <c r="G92" s="85" t="s">
        <v>25</v>
      </c>
      <c r="H92" s="96">
        <v>13.1</v>
      </c>
      <c r="I92" s="92" t="s">
        <v>26</v>
      </c>
      <c r="L92" s="91" t="s">
        <v>405</v>
      </c>
    </row>
    <row r="93" spans="1:13" ht="39" thickBot="1">
      <c r="A93" s="96" t="str">
        <f t="shared" si="2"/>
        <v>131_ED2_007</v>
      </c>
      <c r="B93" s="96" t="str">
        <f t="shared" si="1"/>
        <v>131_0092</v>
      </c>
      <c r="C93" s="96" t="s">
        <v>265</v>
      </c>
      <c r="D93" s="115" t="s">
        <v>415</v>
      </c>
      <c r="E93" s="115" t="s">
        <v>416</v>
      </c>
      <c r="F93" s="117" t="s">
        <v>417</v>
      </c>
      <c r="G93" s="85" t="s">
        <v>25</v>
      </c>
      <c r="H93" s="96">
        <v>13.1</v>
      </c>
      <c r="I93" s="92" t="s">
        <v>26</v>
      </c>
      <c r="L93" s="91" t="s">
        <v>405</v>
      </c>
    </row>
    <row r="94" spans="1:13" ht="26.25" thickBot="1">
      <c r="A94" s="96" t="str">
        <f t="shared" si="2"/>
        <v>131_ED2_008</v>
      </c>
      <c r="B94" s="96" t="str">
        <f t="shared" si="1"/>
        <v>131_0093</v>
      </c>
      <c r="C94" s="96" t="s">
        <v>265</v>
      </c>
      <c r="D94" s="116" t="s">
        <v>418</v>
      </c>
      <c r="E94" s="116" t="s">
        <v>419</v>
      </c>
      <c r="F94" s="116" t="s">
        <v>239</v>
      </c>
      <c r="G94" s="118" t="s">
        <v>25</v>
      </c>
      <c r="H94" s="96">
        <v>14.1</v>
      </c>
      <c r="I94" s="92" t="s">
        <v>26</v>
      </c>
      <c r="L94" s="91" t="s">
        <v>405</v>
      </c>
    </row>
    <row r="95" spans="1:13" ht="39" thickBot="1">
      <c r="A95" s="96" t="str">
        <f t="shared" si="2"/>
        <v>131_ED2_009</v>
      </c>
      <c r="B95" s="96" t="str">
        <f t="shared" si="1"/>
        <v>131_0094</v>
      </c>
      <c r="C95" s="109" t="s">
        <v>266</v>
      </c>
      <c r="D95" s="91" t="s">
        <v>423</v>
      </c>
      <c r="E95" s="91" t="s">
        <v>422</v>
      </c>
      <c r="F95" s="91" t="s">
        <v>424</v>
      </c>
      <c r="G95" s="119" t="s">
        <v>25</v>
      </c>
      <c r="H95" s="109" t="s">
        <v>278</v>
      </c>
      <c r="I95" s="92" t="s">
        <v>26</v>
      </c>
      <c r="L95" s="91" t="s">
        <v>269</v>
      </c>
    </row>
    <row r="96" spans="1:13" ht="26.25" thickBot="1">
      <c r="A96" s="96" t="str">
        <f t="shared" si="2"/>
        <v>131_ED2_010</v>
      </c>
      <c r="B96" s="96" t="str">
        <f t="shared" si="1"/>
        <v>131_0095</v>
      </c>
      <c r="C96" s="109" t="s">
        <v>264</v>
      </c>
      <c r="D96" s="91" t="s">
        <v>448</v>
      </c>
      <c r="E96" s="91" t="s">
        <v>447</v>
      </c>
      <c r="F96" s="91" t="s">
        <v>449</v>
      </c>
      <c r="G96" s="119" t="s">
        <v>25</v>
      </c>
      <c r="H96" s="111">
        <v>7.3</v>
      </c>
      <c r="I96" s="92" t="s">
        <v>26</v>
      </c>
      <c r="L96" s="91" t="s">
        <v>394</v>
      </c>
    </row>
    <row r="97" spans="1:13" ht="26.25" thickBot="1">
      <c r="A97" s="96" t="str">
        <f t="shared" si="2"/>
        <v>131_ED2_011</v>
      </c>
      <c r="B97" s="96" t="str">
        <f t="shared" si="1"/>
        <v>131_0096</v>
      </c>
      <c r="C97" s="109" t="s">
        <v>264</v>
      </c>
      <c r="D97" s="91" t="s">
        <v>451</v>
      </c>
      <c r="E97" s="91" t="s">
        <v>450</v>
      </c>
      <c r="F97" s="91" t="s">
        <v>452</v>
      </c>
      <c r="G97" s="119" t="s">
        <v>263</v>
      </c>
      <c r="H97" s="109" t="s">
        <v>275</v>
      </c>
      <c r="I97" s="92" t="s">
        <v>26</v>
      </c>
      <c r="L97" s="91" t="s">
        <v>472</v>
      </c>
    </row>
    <row r="98" spans="1:13" ht="26.25" thickBot="1">
      <c r="A98" s="96" t="str">
        <f t="shared" si="2"/>
        <v>131_ED2_012</v>
      </c>
      <c r="B98" s="96" t="str">
        <f t="shared" si="1"/>
        <v>131_0097</v>
      </c>
      <c r="C98" s="109" t="s">
        <v>266</v>
      </c>
      <c r="D98" s="91" t="s">
        <v>453</v>
      </c>
      <c r="E98" s="91" t="s">
        <v>454</v>
      </c>
      <c r="F98" s="91" t="s">
        <v>456</v>
      </c>
      <c r="G98" s="119" t="s">
        <v>263</v>
      </c>
      <c r="H98" s="109" t="s">
        <v>275</v>
      </c>
      <c r="I98" s="92" t="s">
        <v>26</v>
      </c>
      <c r="L98" s="91" t="s">
        <v>472</v>
      </c>
    </row>
    <row r="99" spans="1:13" ht="26.25" thickBot="1">
      <c r="A99" s="96" t="str">
        <f t="shared" si="2"/>
        <v>131_ED2_013</v>
      </c>
      <c r="B99" s="96" t="str">
        <f t="shared" si="1"/>
        <v>131_0098</v>
      </c>
      <c r="C99" s="109" t="s">
        <v>264</v>
      </c>
      <c r="D99" s="91" t="s">
        <v>460</v>
      </c>
      <c r="E99" s="91" t="s">
        <v>455</v>
      </c>
      <c r="F99" s="91" t="s">
        <v>457</v>
      </c>
      <c r="G99" s="119" t="s">
        <v>263</v>
      </c>
      <c r="H99" s="109" t="s">
        <v>463</v>
      </c>
      <c r="I99" s="92" t="s">
        <v>26</v>
      </c>
      <c r="L99" s="91" t="s">
        <v>472</v>
      </c>
    </row>
    <row r="100" spans="1:13" ht="26.25" thickBot="1">
      <c r="A100" s="96" t="str">
        <f t="shared" si="2"/>
        <v>131_ED2_014</v>
      </c>
      <c r="B100" s="96" t="str">
        <f t="shared" si="1"/>
        <v>131_0099</v>
      </c>
      <c r="C100" s="109" t="s">
        <v>266</v>
      </c>
      <c r="D100" s="91" t="s">
        <v>461</v>
      </c>
      <c r="E100" s="91" t="s">
        <v>458</v>
      </c>
      <c r="F100" s="91" t="s">
        <v>459</v>
      </c>
      <c r="G100" s="119" t="s">
        <v>263</v>
      </c>
      <c r="H100" s="109" t="s">
        <v>463</v>
      </c>
      <c r="I100" s="92" t="s">
        <v>26</v>
      </c>
      <c r="L100" s="91" t="s">
        <v>472</v>
      </c>
    </row>
    <row r="101" spans="1:13" ht="26.25" thickBot="1">
      <c r="A101" s="96" t="str">
        <f t="shared" si="2"/>
        <v>131_ED2_015</v>
      </c>
      <c r="B101" s="96" t="str">
        <f t="shared" si="1"/>
        <v>131_0100</v>
      </c>
      <c r="C101" s="109" t="s">
        <v>266</v>
      </c>
      <c r="D101" s="91" t="s">
        <v>465</v>
      </c>
      <c r="E101" s="91" t="s">
        <v>464</v>
      </c>
      <c r="F101" s="91" t="s">
        <v>466</v>
      </c>
      <c r="G101" s="119" t="s">
        <v>405</v>
      </c>
      <c r="I101" s="92" t="s">
        <v>26</v>
      </c>
      <c r="L101" s="91" t="s">
        <v>472</v>
      </c>
      <c r="M101" s="86" t="s">
        <v>432</v>
      </c>
    </row>
    <row r="102" spans="1:13" ht="26.25" thickBot="1">
      <c r="A102" s="96" t="str">
        <f t="shared" si="2"/>
        <v>131_ED2_016</v>
      </c>
      <c r="B102" s="96" t="str">
        <f t="shared" si="1"/>
        <v>131_0101</v>
      </c>
      <c r="C102" s="109" t="s">
        <v>264</v>
      </c>
      <c r="D102" s="91" t="s">
        <v>473</v>
      </c>
      <c r="E102" s="91" t="s">
        <v>476</v>
      </c>
      <c r="F102" s="91" t="s">
        <v>474</v>
      </c>
      <c r="G102" s="119" t="s">
        <v>405</v>
      </c>
      <c r="I102" s="92" t="s">
        <v>26</v>
      </c>
      <c r="L102" s="91" t="s">
        <v>475</v>
      </c>
      <c r="M102" s="86" t="s">
        <v>479</v>
      </c>
    </row>
    <row r="103" spans="1:13" ht="64.5" thickBot="1">
      <c r="A103" s="96" t="str">
        <f t="shared" si="2"/>
        <v>131_ED2_017</v>
      </c>
      <c r="B103" s="96" t="str">
        <f t="shared" si="1"/>
        <v>131_0102</v>
      </c>
      <c r="C103" s="109" t="s">
        <v>266</v>
      </c>
      <c r="D103" s="91" t="s">
        <v>481</v>
      </c>
      <c r="E103" s="91" t="s">
        <v>477</v>
      </c>
      <c r="F103" s="91" t="s">
        <v>478</v>
      </c>
      <c r="G103" s="119" t="s">
        <v>405</v>
      </c>
      <c r="I103" s="92" t="s">
        <v>26</v>
      </c>
      <c r="L103" s="91" t="s">
        <v>472</v>
      </c>
      <c r="M103" s="86" t="s">
        <v>480</v>
      </c>
    </row>
  </sheetData>
  <autoFilter ref="K1:K101" xr:uid="{00000000-0001-0000-0100-000000000000}">
    <filterColumn colId="0">
      <filters blank="1"/>
    </filterColumn>
  </autoFilter>
  <dataValidations count="1">
    <dataValidation type="list" allowBlank="1" showInputMessage="1" showErrorMessage="1" sqref="C2:C32 C39:C268" xr:uid="{1FB138CC-14EF-4406-9E7B-EC5039F9ECE1}">
      <formula1>"C,E,W"</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ED3A-C64B-4840-BCED-AC4084F0FF9E}">
  <dimension ref="A1:R91"/>
  <sheetViews>
    <sheetView zoomScale="110" zoomScaleNormal="110" workbookViewId="0">
      <selection activeCell="A3" sqref="A3"/>
    </sheetView>
  </sheetViews>
  <sheetFormatPr defaultColWidth="8.7109375" defaultRowHeight="12.75"/>
  <cols>
    <col min="1" max="1" width="13" style="3" customWidth="1"/>
    <col min="2" max="2" width="11.28515625" style="4" customWidth="1"/>
    <col min="3" max="3" width="12.7109375" style="3" customWidth="1"/>
    <col min="4" max="4" width="42.28515625" style="43" customWidth="1"/>
    <col min="5" max="5" width="58.85546875" style="43" customWidth="1"/>
    <col min="6" max="6" width="34.7109375" style="43" customWidth="1"/>
    <col min="7" max="7" width="19.28515625" style="50" customWidth="1"/>
    <col min="8" max="8" width="16.28515625" style="52" customWidth="1"/>
    <col min="9" max="9" width="10.42578125" style="46" customWidth="1"/>
    <col min="10" max="10" width="8.28515625" style="46" customWidth="1"/>
    <col min="11" max="11" width="8" style="46" customWidth="1"/>
    <col min="12" max="12" width="9.42578125" style="43" customWidth="1"/>
    <col min="13" max="13" width="25.28515625" style="60" customWidth="1"/>
    <col min="14" max="14" width="27.140625" style="5" customWidth="1"/>
    <col min="15" max="16384" width="8.7109375" style="1"/>
  </cols>
  <sheetData>
    <row r="1" spans="1:18" ht="26.25" thickBot="1">
      <c r="A1" s="6" t="s">
        <v>14</v>
      </c>
      <c r="B1" s="6" t="s">
        <v>15</v>
      </c>
      <c r="C1" s="6" t="s">
        <v>16</v>
      </c>
      <c r="D1" s="61" t="s">
        <v>17</v>
      </c>
      <c r="E1" s="61" t="s">
        <v>18</v>
      </c>
      <c r="F1" s="61" t="s">
        <v>19</v>
      </c>
      <c r="G1" s="49" t="s">
        <v>20</v>
      </c>
      <c r="H1" s="51" t="s">
        <v>21</v>
      </c>
      <c r="I1" s="67" t="s">
        <v>22</v>
      </c>
      <c r="J1" s="82" t="s">
        <v>23</v>
      </c>
      <c r="K1" s="82" t="s">
        <v>24</v>
      </c>
      <c r="L1" s="83" t="s">
        <v>271</v>
      </c>
      <c r="M1" s="69" t="s">
        <v>285</v>
      </c>
      <c r="N1" s="43"/>
    </row>
    <row r="2" spans="1:18" ht="39" thickBot="1">
      <c r="A2" s="44" t="str" cm="1">
        <f t="array" ref="A2:M39">_xlfn._xlws.FILTER(S131Checks!A2:M86,NOT(ISBLANK(S131Checks!K2:K86)),"")</f>
        <v>131_ED1_102</v>
      </c>
      <c r="B2" s="45" t="str">
        <v>131_0002</v>
      </c>
      <c r="C2" s="7" t="str">
        <v>E</v>
      </c>
      <c r="D2" s="62" t="str">
        <v>Data Coverage has an inner ring without adjoined another Data Coverage.</v>
      </c>
      <c r="E2" s="62" t="str">
        <v>For each DataCoverage feature where its referenced surface spatial object has an inner ring AND that ring is not external for another DataCoverage.</v>
      </c>
      <c r="F2" s="71" t="str">
        <v>Modify geometry.</v>
      </c>
      <c r="G2" s="62">
        <v>0</v>
      </c>
      <c r="H2" s="78">
        <v>0</v>
      </c>
      <c r="I2" s="87" t="str">
        <v>1.0.0</v>
      </c>
      <c r="J2" s="84">
        <v>0</v>
      </c>
      <c r="K2" s="84" t="str">
        <v>2.0.0</v>
      </c>
      <c r="L2" s="85" t="str">
        <v>B</v>
      </c>
      <c r="M2" s="86" t="str">
        <v>Is this still appropriate for S-131 Edition 2?</v>
      </c>
      <c r="N2" s="43"/>
      <c r="O2" s="2"/>
      <c r="P2" s="2"/>
      <c r="Q2" s="2"/>
      <c r="R2" s="2"/>
    </row>
    <row r="3" spans="1:18" ht="39" thickBot="1">
      <c r="A3" s="44" t="str">
        <v>131_ED1_106</v>
      </c>
      <c r="B3" s="45" t="str">
        <v>131_0006</v>
      </c>
      <c r="C3" s="7" t="str">
        <v>E</v>
      </c>
      <c r="D3" s="63" t="str">
        <v>Dataset exceeds size limits.</v>
      </c>
      <c r="E3" s="63" t="str">
        <v>If the dataset file size is greater than the limit set in the Product Specification.</v>
      </c>
      <c r="F3" s="72" t="str">
        <v>Ensure that the dataset is no larger than the applicable limit specified in the Product Specification.</v>
      </c>
      <c r="G3" s="68" t="str">
        <v>PS</v>
      </c>
      <c r="H3" s="79">
        <v>7.1</v>
      </c>
      <c r="I3" s="87" t="str">
        <v>1.0.0</v>
      </c>
      <c r="J3" s="84">
        <v>0</v>
      </c>
      <c r="K3" s="84" t="str">
        <v>2.0.0</v>
      </c>
      <c r="L3" s="85" t="str">
        <v>B, S</v>
      </c>
      <c r="M3" s="86" t="str">
        <v>Covered by generic check(s) in S-158:100.</v>
      </c>
      <c r="N3" s="43"/>
    </row>
    <row r="4" spans="1:18" ht="39" thickBot="1">
      <c r="A4" s="44" t="str">
        <v>131_ED1_108</v>
      </c>
      <c r="B4" s="45" t="str">
        <v>131_0008</v>
      </c>
      <c r="C4" s="8" t="str">
        <v>E</v>
      </c>
      <c r="D4" s="63" t="str">
        <v>Mandatory attributes are not encoded.</v>
      </c>
      <c r="E4" s="63" t="str">
        <v>If any mandatory attributes are not present.</v>
      </c>
      <c r="F4" s="72" t="str">
        <v>Populate mandatory attributes (If unknown encode attribute with empty value).</v>
      </c>
      <c r="G4" s="63" t="str">
        <v>PS; DCEG</v>
      </c>
      <c r="H4" s="79">
        <v>4.2</v>
      </c>
      <c r="I4" s="87" t="str">
        <v>1.0.0</v>
      </c>
      <c r="J4" s="84">
        <v>0</v>
      </c>
      <c r="K4" s="84" t="str">
        <v>2.0.0</v>
      </c>
      <c r="L4" s="85" t="str">
        <v>B, U</v>
      </c>
      <c r="M4" s="86" t="str">
        <v>Covered by generic check(s) in S-158:100.</v>
      </c>
      <c r="N4" s="43"/>
    </row>
    <row r="5" spans="1:18" ht="39" thickBot="1">
      <c r="A5" s="44" t="str">
        <v>131_ED1_111</v>
      </c>
      <c r="B5" s="45" t="str">
        <v>131_0011</v>
      </c>
      <c r="C5" s="8" t="str">
        <v>E</v>
      </c>
      <c r="D5" s="63" t="str">
        <v>Wrong association used.</v>
      </c>
      <c r="E5" s="63" t="str">
        <v>For each association between feature instances, feature instances and information instances, and between information instances that is not defined in the feature catalogue.</v>
      </c>
      <c r="F5" s="72" t="str">
        <v>Use correct association type.</v>
      </c>
      <c r="G5" s="63" t="str">
        <v>PS; DCEG</v>
      </c>
      <c r="H5" s="79">
        <v>4.2</v>
      </c>
      <c r="I5" s="87" t="str">
        <v>1.0.0</v>
      </c>
      <c r="J5" s="84">
        <v>0</v>
      </c>
      <c r="K5" s="84" t="str">
        <v>2.0.0</v>
      </c>
      <c r="L5" s="85" t="str">
        <v>B, U</v>
      </c>
      <c r="M5" s="86" t="str">
        <v>Covered by generic check(s) in S-158:100.</v>
      </c>
      <c r="N5" s="43"/>
    </row>
    <row r="6" spans="1:18" ht="26.25" thickBot="1">
      <c r="A6" s="44" t="str">
        <v>131_ED1_112</v>
      </c>
      <c r="B6" s="45" t="str">
        <v>131_0012</v>
      </c>
      <c r="C6" s="8" t="str">
        <v>E</v>
      </c>
      <c r="D6" s="63" t="str">
        <v>Wrong role used.</v>
      </c>
      <c r="E6" s="63" t="str">
        <v>For each role name on associations that is not defined in the feature catalogue.</v>
      </c>
      <c r="F6" s="72" t="str">
        <v>Use correct role name.</v>
      </c>
      <c r="G6" s="63" t="str">
        <v>PS; DCEG</v>
      </c>
      <c r="H6" s="79">
        <v>4.2</v>
      </c>
      <c r="I6" s="87" t="str">
        <v>1.0.0</v>
      </c>
      <c r="J6" s="84">
        <v>0</v>
      </c>
      <c r="K6" s="84" t="str">
        <v>2.0.0</v>
      </c>
      <c r="L6" s="85" t="str">
        <v>B, U</v>
      </c>
      <c r="M6" s="86" t="str">
        <v>Covered by generic check(s) in S-158:100.</v>
      </c>
      <c r="N6" s="43"/>
    </row>
    <row r="7" spans="1:18" s="46" customFormat="1" ht="13.5" thickBot="1">
      <c r="A7" s="44" t="str">
        <v>131_ED1_113</v>
      </c>
      <c r="B7" s="45" t="str">
        <v>131_0013</v>
      </c>
      <c r="C7" s="47" t="str">
        <v>E</v>
      </c>
      <c r="D7" s="63" t="str">
        <v>Self-referential association.</v>
      </c>
      <c r="E7" s="63" t="str">
        <v>For each association where the object references itself</v>
      </c>
      <c r="F7" s="73" t="str">
        <v>Correct association target</v>
      </c>
      <c r="G7" s="63">
        <v>0</v>
      </c>
      <c r="H7" s="79">
        <v>0</v>
      </c>
      <c r="I7" s="87" t="str">
        <v>1.0.0</v>
      </c>
      <c r="J7" s="87">
        <v>0</v>
      </c>
      <c r="K7" s="87" t="str">
        <v>2.0.0</v>
      </c>
      <c r="L7" s="85" t="str">
        <v>B, U</v>
      </c>
      <c r="M7" s="86" t="str">
        <v>See 100_0007</v>
      </c>
      <c r="N7" s="43"/>
    </row>
    <row r="8" spans="1:18" s="46" customFormat="1" ht="26.25" thickBot="1">
      <c r="A8" s="44" t="str">
        <v>131_ED1_114</v>
      </c>
      <c r="B8" s="45" t="str">
        <v>131_0014</v>
      </c>
      <c r="C8" s="47" t="str">
        <v>E</v>
      </c>
      <c r="D8" s="63" t="str">
        <v>Unknown association is used.</v>
      </c>
      <c r="E8" s="63" t="str">
        <v>For each association that is not defined in the feature catalogue.</v>
      </c>
      <c r="F8" s="73" t="str">
        <v>Use association that is defined in the feature catalogue.</v>
      </c>
      <c r="G8" s="63" t="str">
        <v>PS; DCEG</v>
      </c>
      <c r="H8" s="79">
        <v>4.2</v>
      </c>
      <c r="I8" s="87" t="str">
        <v>1.0.0</v>
      </c>
      <c r="J8" s="87">
        <v>0</v>
      </c>
      <c r="K8" s="87" t="str">
        <v>2.0.0</v>
      </c>
      <c r="L8" s="85" t="str">
        <v>B, U</v>
      </c>
      <c r="M8" s="86" t="str">
        <v>Covered by generic check(s) in S-158:100.</v>
      </c>
      <c r="N8" s="43"/>
    </row>
    <row r="9" spans="1:18" ht="26.25" thickBot="1">
      <c r="A9" s="44" t="str">
        <v>131_ED1_115</v>
      </c>
      <c r="B9" s="45" t="str">
        <v>131_0015</v>
      </c>
      <c r="C9" s="8" t="str">
        <v>E</v>
      </c>
      <c r="D9" s="63" t="str">
        <v>Unknown role name is used.</v>
      </c>
      <c r="E9" s="63" t="str">
        <v>For each role name that is not defined in the feature catalogue.</v>
      </c>
      <c r="F9" s="72" t="str">
        <v>Use role name that is defined in the feature catalogue.</v>
      </c>
      <c r="G9" s="63" t="str">
        <v>PS; DCEG</v>
      </c>
      <c r="H9" s="79">
        <v>4.2</v>
      </c>
      <c r="I9" s="87" t="str">
        <v>1.0.0</v>
      </c>
      <c r="J9" s="87">
        <v>0</v>
      </c>
      <c r="K9" s="87" t="str">
        <v>2.0.0</v>
      </c>
      <c r="L9" s="85" t="str">
        <v>B, U</v>
      </c>
      <c r="M9" s="86" t="str">
        <v>Covered by generic check(s) in S-158:100.</v>
      </c>
    </row>
    <row r="10" spans="1:18" ht="26.25" thickBot="1">
      <c r="A10" s="44" t="str">
        <v>131_ED1_116</v>
      </c>
      <c r="B10" s="45" t="str">
        <v>131_0016</v>
      </c>
      <c r="C10" s="8" t="str">
        <v>E</v>
      </c>
      <c r="D10" s="63" t="str">
        <v>Object association is not allowed.</v>
      </c>
      <c r="E10" s="63" t="str">
        <v>For each association that refences an object not permitted by the object binding in the feature catalogue.</v>
      </c>
      <c r="F10" s="72" t="str">
        <v>Ensure correct association is used between classes.</v>
      </c>
      <c r="G10" s="63" t="str">
        <v>PS; DCEG</v>
      </c>
      <c r="H10" s="79">
        <v>4.2</v>
      </c>
      <c r="I10" s="87" t="str">
        <v>1.0.0</v>
      </c>
      <c r="J10" s="87">
        <v>0</v>
      </c>
      <c r="K10" s="87" t="str">
        <v>2.0.0</v>
      </c>
      <c r="L10" s="85" t="str">
        <v>B, U, S</v>
      </c>
      <c r="M10" s="86" t="str">
        <v>Covered by generic check(s) in S-158:100.</v>
      </c>
    </row>
    <row r="11" spans="1:18" ht="26.25" thickBot="1">
      <c r="A11" s="44" t="str">
        <v>131_ED1_117</v>
      </c>
      <c r="B11" s="45" t="str">
        <v>131_0017</v>
      </c>
      <c r="C11" s="8" t="str">
        <v>E</v>
      </c>
      <c r="D11" s="63" t="str">
        <v>Role name is used on an illegal association.</v>
      </c>
      <c r="E11" s="63" t="str">
        <v>For each role name ensure it is only used with permitted associations.</v>
      </c>
      <c r="F11" s="72" t="str">
        <v>Ensure correct role names are used on the association.</v>
      </c>
      <c r="G11" s="63" t="str">
        <v>PS; DCEG</v>
      </c>
      <c r="H11" s="79">
        <v>4.2</v>
      </c>
      <c r="I11" s="87" t="str">
        <v>1.0.0</v>
      </c>
      <c r="J11" s="87">
        <v>0</v>
      </c>
      <c r="K11" s="87" t="str">
        <v>2.0.0</v>
      </c>
      <c r="L11" s="85" t="str">
        <v>B, U, S</v>
      </c>
      <c r="M11" s="86" t="str">
        <v>Covered by generic check(s) in S-158:100.</v>
      </c>
      <c r="N11" s="43"/>
    </row>
    <row r="12" spans="1:18" ht="39" thickBot="1">
      <c r="A12" s="44" t="str">
        <v>131_ED1_118</v>
      </c>
      <c r="B12" s="45" t="str">
        <v>131_0018</v>
      </c>
      <c r="C12" s="7" t="str">
        <v>C</v>
      </c>
      <c r="D12" s="63" t="str">
        <v>Dataset must conform to the GML schema for its Product Specification edition and revision.</v>
      </c>
      <c r="E12" s="63" t="str">
        <v>Dataset fails schema validation with the GML schema for the corresponding edition and revision of the Product Specification.</v>
      </c>
      <c r="F12" s="74" t="str">
        <v>Ensure conformance to the GML schema for the PS edition and revision specified in the dataset.</v>
      </c>
      <c r="G12" s="63" t="str">
        <v>PS</v>
      </c>
      <c r="H12" s="79" t="str">
        <v>[10.4, 12.1]</v>
      </c>
      <c r="I12" s="87" t="str">
        <v>1.0.0</v>
      </c>
      <c r="J12" s="87">
        <v>0</v>
      </c>
      <c r="K12" s="87" t="str">
        <v>2.0.0</v>
      </c>
      <c r="L12" s="85" t="str">
        <v>B, U</v>
      </c>
      <c r="M12" s="86" t="str">
        <v>Covered by generic check(s) in S-158:100.</v>
      </c>
      <c r="N12" s="43"/>
    </row>
    <row r="13" spans="1:18" s="46" customFormat="1" ht="26.25" thickBot="1">
      <c r="A13" s="44" t="str">
        <v>131_ED1_128</v>
      </c>
      <c r="B13" s="45" t="str">
        <v>131_0028</v>
      </c>
      <c r="C13" s="47" t="str">
        <v>E</v>
      </c>
      <c r="D13" s="63" t="str">
        <v>Object outside area of coverage.</v>
      </c>
      <c r="E13" s="63" t="str">
        <v>For each feature instance that does not OVERLAP OR is WITHIN an area of DataCoverage</v>
      </c>
      <c r="F13" s="72" t="str">
        <v>Remove object or amend coverage.</v>
      </c>
      <c r="G13" s="63" t="str">
        <v>PS; DCEG</v>
      </c>
      <c r="H13" s="79" t="str">
        <v>[7.3]; [2.6.3]</v>
      </c>
      <c r="I13" s="87" t="str">
        <v>1.0.0</v>
      </c>
      <c r="J13" s="87">
        <v>0</v>
      </c>
      <c r="K13" s="87" t="str">
        <v>2.0.0</v>
      </c>
      <c r="L13" s="85" t="str">
        <v>B, S</v>
      </c>
      <c r="M13" s="86" t="str">
        <v>Redundant, compare to 131_0001</v>
      </c>
      <c r="N13" s="43"/>
    </row>
    <row r="14" spans="1:18" s="46" customFormat="1" ht="39" thickBot="1">
      <c r="A14" s="44" t="str">
        <v>131_ED1_129</v>
      </c>
      <c r="B14" s="45" t="str">
        <v>131_0029</v>
      </c>
      <c r="C14" s="47" t="str">
        <v>C</v>
      </c>
      <c r="D14" s="56" t="str">
        <v>Datasets must only contain the feature and information types listed in the FC.</v>
      </c>
      <c r="E14" s="63" t="str">
        <v>For each object which is present in the dataset but not present in the feature catalogue.</v>
      </c>
      <c r="F14" s="72" t="str">
        <v>Delete object or replace with an instance of a feature or information type defined in the feature catalogue.</v>
      </c>
      <c r="G14" s="63" t="str">
        <v>PS</v>
      </c>
      <c r="H14" s="79">
        <v>4.2</v>
      </c>
      <c r="I14" s="87" t="str">
        <v>1.0.0</v>
      </c>
      <c r="J14" s="87">
        <v>0</v>
      </c>
      <c r="K14" s="87" t="str">
        <v>2.0.0</v>
      </c>
      <c r="L14" s="85" t="str">
        <v>B, U</v>
      </c>
      <c r="M14" s="86" t="str">
        <v>Covered by generic check(s) in S-158:100.</v>
      </c>
      <c r="N14" s="43"/>
    </row>
    <row r="15" spans="1:18" ht="26.25" thickBot="1">
      <c r="A15" s="44" t="str">
        <v>131_ED1_131</v>
      </c>
      <c r="B15" s="45" t="str">
        <v>131_0031</v>
      </c>
      <c r="C15" s="7" t="str">
        <v>E</v>
      </c>
      <c r="D15" s="62" t="str">
        <v>Object has invalid feature class code.</v>
      </c>
      <c r="E15" s="63" t="str">
        <v>For each object which does not have a valid feature or information type label/code as defined by the feature catalogue.</v>
      </c>
      <c r="F15" s="75" t="str">
        <v>Amend object class code.</v>
      </c>
      <c r="G15" s="63" t="str">
        <v>PS; DCEG</v>
      </c>
      <c r="H15" s="79">
        <v>4.2</v>
      </c>
      <c r="I15" s="87" t="str">
        <v>1.0.0</v>
      </c>
      <c r="J15" s="87">
        <v>0</v>
      </c>
      <c r="K15" s="87" t="str">
        <v>2.0.0</v>
      </c>
      <c r="L15" s="85" t="str">
        <v>B, U</v>
      </c>
      <c r="M15" s="86" t="str">
        <v>Covered by generic check(s) in S-158:100.</v>
      </c>
      <c r="N15" s="43"/>
    </row>
    <row r="16" spans="1:18" s="46" customFormat="1" ht="26.25" thickBot="1">
      <c r="A16" s="44" t="str">
        <v>131_ED1_132</v>
      </c>
      <c r="B16" s="45" t="str">
        <v>131_0032</v>
      </c>
      <c r="C16" s="42" t="str">
        <v>E</v>
      </c>
      <c r="D16" s="63" t="str">
        <v>Attribute has invalid attribute.</v>
      </c>
      <c r="E16" s="63" t="str">
        <v>For each attribute which does not correspond to an attribute code as defined by the feature catalogue.</v>
      </c>
      <c r="F16" s="76" t="str">
        <v>Amend attribute name.</v>
      </c>
      <c r="G16" s="63" t="str">
        <v>PS; DCEG</v>
      </c>
      <c r="H16" s="79">
        <v>4.2</v>
      </c>
      <c r="I16" s="87" t="str">
        <v>1.0.0</v>
      </c>
      <c r="J16" s="87">
        <v>0</v>
      </c>
      <c r="K16" s="87" t="str">
        <v>2.0.0</v>
      </c>
      <c r="L16" s="85" t="str">
        <v>B, U</v>
      </c>
      <c r="M16" s="86" t="str">
        <v>Covered by generic check(s) in S-158:100.</v>
      </c>
      <c r="N16" s="43"/>
    </row>
    <row r="17" spans="1:14" ht="26.25" thickBot="1">
      <c r="A17" s="44" t="str">
        <v>131_ED1_133</v>
      </c>
      <c r="B17" s="45" t="str">
        <v>131_0033</v>
      </c>
      <c r="C17" s="7" t="str">
        <v>E</v>
      </c>
      <c r="D17" s="57" t="str">
        <v>Attribute not permitted on feature or information type.</v>
      </c>
      <c r="E17" s="63" t="str">
        <v>For each object which contains attributes outside the list of permissible attributes for the feature class (as defined in the feature catalogue).</v>
      </c>
      <c r="F17" s="75" t="str">
        <v>Remove attribute.</v>
      </c>
      <c r="G17" s="63" t="str">
        <v>PS; DCEG</v>
      </c>
      <c r="H17" s="79">
        <v>4.2</v>
      </c>
      <c r="I17" s="87" t="str">
        <v>1.0.0</v>
      </c>
      <c r="J17" s="87">
        <v>0</v>
      </c>
      <c r="K17" s="87" t="str">
        <v>2.0.0</v>
      </c>
      <c r="L17" s="85" t="str">
        <v>B, U</v>
      </c>
      <c r="M17" s="86" t="str">
        <v>Covered by generic check(s) in S-158:100.</v>
      </c>
      <c r="N17" s="43"/>
    </row>
    <row r="18" spans="1:14" ht="39" thickBot="1">
      <c r="A18" s="44" t="str">
        <v>131_ED1_134</v>
      </c>
      <c r="B18" s="45" t="str">
        <v>131_0034</v>
      </c>
      <c r="C18" s="7" t="str">
        <v>E</v>
      </c>
      <c r="D18" s="62" t="str">
        <v>Feature types must only have permitted geometric primitives</v>
      </c>
      <c r="E18" s="63" t="str">
        <v>For each object which is present in the dataset which references a geometry which is not permitted in the feature catalogue (including noGeometry if allowed)</v>
      </c>
      <c r="F18" s="72" t="str">
        <v>Use allowed spatial primitive.</v>
      </c>
      <c r="G18" s="63" t="str">
        <v>PS; DCEG</v>
      </c>
      <c r="H18" s="79">
        <v>4.2</v>
      </c>
      <c r="I18" s="87" t="str">
        <v>1.0.0</v>
      </c>
      <c r="J18" s="84">
        <v>0</v>
      </c>
      <c r="K18" s="87" t="str">
        <v>2.0.0</v>
      </c>
      <c r="L18" s="85" t="str">
        <v>B, U</v>
      </c>
      <c r="M18" s="86" t="str">
        <v>Covered by generic check(s) in S-158:100.</v>
      </c>
      <c r="N18" s="43"/>
    </row>
    <row r="19" spans="1:14" ht="26.25" thickBot="1">
      <c r="A19" s="44" t="str">
        <v>131_ED1_135</v>
      </c>
      <c r="B19" s="45" t="str">
        <v>131_0035</v>
      </c>
      <c r="C19" s="8" t="str">
        <v>C</v>
      </c>
      <c r="D19" s="63" t="str">
        <v>Error in numeric attribute value.</v>
      </c>
      <c r="E19" s="63" t="str">
        <v>For each integer or real attribute whose value does not conform to the range (if any) defined in the feature catalogue</v>
      </c>
      <c r="F19" s="72" t="str">
        <v>Correct value</v>
      </c>
      <c r="G19" s="63">
        <v>0</v>
      </c>
      <c r="H19" s="79">
        <v>0</v>
      </c>
      <c r="I19" s="87" t="str">
        <v>1.0.0</v>
      </c>
      <c r="J19" s="84">
        <v>0</v>
      </c>
      <c r="K19" s="87" t="str">
        <v>2.0.0</v>
      </c>
      <c r="L19" s="85" t="str">
        <v>B, U</v>
      </c>
      <c r="M19" s="86" t="str">
        <v>Covered by generic check(s) in S-158:100.</v>
      </c>
      <c r="N19" s="43"/>
    </row>
    <row r="20" spans="1:14" ht="26.25" thickBot="1">
      <c r="A20" s="44" t="str">
        <v>131_ED1_136</v>
      </c>
      <c r="B20" s="45" t="str">
        <v>131_0036</v>
      </c>
      <c r="C20" s="7" t="str">
        <v>C</v>
      </c>
      <c r="D20" s="63" t="str">
        <v>Value of attribute is outside range.</v>
      </c>
      <c r="E20" s="63" t="str">
        <v>For each enumeration attribute whose code or value do not conform to the values permitted in the feature catalogue.</v>
      </c>
      <c r="F20" s="72" t="str">
        <v>Correct value</v>
      </c>
      <c r="G20" s="63">
        <v>0</v>
      </c>
      <c r="H20" s="79">
        <v>0</v>
      </c>
      <c r="I20" s="87" t="str">
        <v>1.0.0</v>
      </c>
      <c r="J20" s="84">
        <v>0</v>
      </c>
      <c r="K20" s="84" t="str">
        <v>2.0.0</v>
      </c>
      <c r="L20" s="85" t="str">
        <v>B, U</v>
      </c>
      <c r="M20" s="86" t="str">
        <v>Covered by generic check(s) in S-158:100.</v>
      </c>
      <c r="N20" s="43"/>
    </row>
    <row r="21" spans="1:14" ht="26.25" thickBot="1">
      <c r="A21" s="44" t="str">
        <v>131_ED1_137</v>
      </c>
      <c r="B21" s="45" t="str">
        <v>131_0037</v>
      </c>
      <c r="C21" s="7" t="str">
        <v>C</v>
      </c>
      <c r="D21" s="63" t="str">
        <v>Code and value of enumeration or codelist attribute do not match.</v>
      </c>
      <c r="E21" s="63" t="str">
        <v>For each enumeration or codelist attribute whose code and value do not correspond to the same listed value in the feature catalogue.</v>
      </c>
      <c r="F21" s="72" t="str">
        <v>Correct attribute code or value.</v>
      </c>
      <c r="G21" s="63">
        <v>0</v>
      </c>
      <c r="H21" s="79">
        <v>0</v>
      </c>
      <c r="I21" s="87" t="str">
        <v>1.0.0</v>
      </c>
      <c r="J21" s="84">
        <v>0</v>
      </c>
      <c r="K21" s="84" t="str">
        <v>2.0.0</v>
      </c>
      <c r="L21" s="85" t="str">
        <v>B, U</v>
      </c>
      <c r="M21" s="86" t="str">
        <v>Covered by generic check(s) in S-158:100.</v>
      </c>
      <c r="N21" s="43"/>
    </row>
    <row r="22" spans="1:14" ht="26.25" thickBot="1">
      <c r="A22" s="44" t="str">
        <v>131_ED1_138</v>
      </c>
      <c r="B22" s="45" t="str">
        <v>131_0038</v>
      </c>
      <c r="C22" s="7" t="str">
        <v>E</v>
      </c>
      <c r="D22" s="63" t="str">
        <v>Attribute values must be in the correct format.</v>
      </c>
      <c r="E22" s="62" t="str">
        <v>For each attribute which does not correspond to the format defined for the attribute value specified in the feature catalogue</v>
      </c>
      <c r="F22" s="72" t="str">
        <v>Correct format of value</v>
      </c>
      <c r="G22" s="63">
        <v>0</v>
      </c>
      <c r="H22" s="79">
        <v>0</v>
      </c>
      <c r="I22" s="87" t="str">
        <v>1.0.0</v>
      </c>
      <c r="J22" s="84">
        <v>0</v>
      </c>
      <c r="K22" s="84" t="str">
        <v>2.0.0</v>
      </c>
      <c r="L22" s="85" t="str">
        <v>B, U</v>
      </c>
      <c r="M22" s="86" t="str">
        <v>Covered by generic check(s) in S-158:100.</v>
      </c>
      <c r="N22" s="43"/>
    </row>
    <row r="23" spans="1:14" ht="26.25" thickBot="1">
      <c r="A23" s="44" t="str">
        <v>131_ED1_144</v>
      </c>
      <c r="B23" s="45" t="str">
        <v>131_0044</v>
      </c>
      <c r="C23" s="47" t="str">
        <v>E</v>
      </c>
      <c r="D23" s="63" t="str">
        <v>Too many instances of attribute.</v>
      </c>
      <c r="E23" s="63" t="str">
        <v>For each attribute instance where the total number of instances exceed the permitted number of instances</v>
      </c>
      <c r="F23" s="72" t="str">
        <v>Ensure correct attribute encoding.</v>
      </c>
      <c r="G23" s="63" t="str">
        <v>PS</v>
      </c>
      <c r="H23" s="79">
        <v>4.2</v>
      </c>
      <c r="I23" s="87" t="str">
        <v>1.0.0</v>
      </c>
      <c r="J23" s="84">
        <v>0</v>
      </c>
      <c r="K23" s="84" t="str">
        <v>2.0.0</v>
      </c>
      <c r="L23" s="85" t="str">
        <v>B, U</v>
      </c>
      <c r="M23" s="86" t="str">
        <v>Covered by generic check 100_0064</v>
      </c>
      <c r="N23" s="43"/>
    </row>
    <row r="24" spans="1:14" ht="26.25" thickBot="1">
      <c r="A24" s="44" t="str">
        <v>131_ED1_146</v>
      </c>
      <c r="B24" s="45" t="str">
        <v>131_0046</v>
      </c>
      <c r="C24" s="8" t="str">
        <v>E</v>
      </c>
      <c r="D24" s="63" t="str">
        <v>Periodic date range must have both dateEnd and dateStart.</v>
      </c>
      <c r="E24" s="70" t="str">
        <v>For each feature instance where periodicDateRange sub-attribute dateStart OR dateEnd is missing.</v>
      </c>
      <c r="F24" s="72" t="str">
        <v>Populate both dateStart and dateEnd.</v>
      </c>
      <c r="G24" s="63">
        <v>0</v>
      </c>
      <c r="H24" s="79">
        <v>0</v>
      </c>
      <c r="I24" s="87" t="str">
        <v>1.0.0</v>
      </c>
      <c r="J24" s="84">
        <v>0</v>
      </c>
      <c r="K24" s="84" t="str">
        <v>2.0.0</v>
      </c>
      <c r="L24" s="85" t="str">
        <v>B, U</v>
      </c>
      <c r="M24" s="86" t="str">
        <v>Covered by 100_0004</v>
      </c>
      <c r="N24" s="43"/>
    </row>
    <row r="25" spans="1:14" ht="26.25" thickBot="1">
      <c r="A25" s="44" t="str">
        <v>131_ED1_150</v>
      </c>
      <c r="B25" s="45" t="str">
        <v>131_0050</v>
      </c>
      <c r="C25" s="8" t="str">
        <v>E</v>
      </c>
      <c r="D25" s="56" t="str">
        <v>File referenced in the dataset is not present in the exchange set.</v>
      </c>
      <c r="E25" s="63" t="str">
        <v>For each instance of a file referenced in the data and not present in the exchange set.</v>
      </c>
      <c r="F25" s="72" t="str">
        <v>Add file to exchange set or remove reference to file.</v>
      </c>
      <c r="G25" s="63" t="str">
        <v>PS</v>
      </c>
      <c r="H25" s="79" t="str">
        <v>13.1</v>
      </c>
      <c r="I25" s="87" t="str">
        <v>1.0.0</v>
      </c>
      <c r="J25" s="84">
        <v>0</v>
      </c>
      <c r="K25" s="84" t="str">
        <v>2.0.0</v>
      </c>
      <c r="L25" s="85" t="str">
        <v>B, S</v>
      </c>
      <c r="M25" s="86" t="str">
        <v>Covered by generic check(s) in S-158:100. 100_0302</v>
      </c>
      <c r="N25" s="43"/>
    </row>
    <row r="26" spans="1:14" ht="64.5" thickBot="1">
      <c r="A26" s="44" t="str">
        <v>131_ED1_159</v>
      </c>
      <c r="B26" s="45" t="str">
        <v>131_0059</v>
      </c>
      <c r="C26" s="8" t="str">
        <v>E</v>
      </c>
      <c r="D26" s="62" t="str">
        <v>Frequency pair frequency attributes are not populated with meaningful information.</v>
      </c>
      <c r="E26" s="63" t="str">
        <v>For each frequencyPair with sub-attributes  frequencyShoreStationTransmits and frequencyShoreStationReceives both missing.</v>
      </c>
      <c r="F26" s="72" t="str">
        <v>Populate at least one of frequencyShoreStationTransmits or frequencyShoreStationReceives.</v>
      </c>
      <c r="G26" s="63">
        <v>0</v>
      </c>
      <c r="H26" s="79">
        <v>0</v>
      </c>
      <c r="I26" s="87" t="str">
        <v>1.0.0</v>
      </c>
      <c r="J26" s="84">
        <v>0</v>
      </c>
      <c r="K26" s="84" t="str">
        <v>2.0.0</v>
      </c>
      <c r="L26" s="85" t="str">
        <v>B, U</v>
      </c>
      <c r="M26" s="86" t="str">
        <v>Redundant in 2.0.0, now covered by generic check for conformance since ...Transmits is made mandatory in FC</v>
      </c>
      <c r="N26" s="43"/>
    </row>
    <row r="27" spans="1:14" ht="26.25" thickBot="1">
      <c r="A27" s="44" t="str">
        <v>131_ED1_166</v>
      </c>
      <c r="B27" s="45" t="str">
        <v>131_0066</v>
      </c>
      <c r="C27" s="8" t="str">
        <v>E</v>
      </c>
      <c r="D27" s="63" t="str">
        <v>Associated feature or information type not present.</v>
      </c>
      <c r="E27" s="63" t="str">
        <v>For each feature or information association where the target object is not present in the dataset.</v>
      </c>
      <c r="F27" s="72" t="str">
        <v>Correct or remove the association, or add the  missing feature or information type</v>
      </c>
      <c r="G27" s="63">
        <v>0</v>
      </c>
      <c r="H27" s="79">
        <v>0</v>
      </c>
      <c r="I27" s="87" t="str">
        <v>1.0.0</v>
      </c>
      <c r="J27" s="84">
        <v>0</v>
      </c>
      <c r="K27" s="84" t="str">
        <v>2.0.0</v>
      </c>
      <c r="L27" s="85" t="str">
        <v>B, S</v>
      </c>
      <c r="M27" s="86" t="str">
        <v>See100_0172</v>
      </c>
      <c r="N27" s="43"/>
    </row>
    <row r="28" spans="1:14" ht="26.25" thickBot="1">
      <c r="A28" s="44" t="str">
        <v>131_ED1_173</v>
      </c>
      <c r="B28" s="45" t="str">
        <v>131_0073</v>
      </c>
      <c r="C28" s="7" t="str">
        <v>C</v>
      </c>
      <c r="D28" s="63" t="str">
        <v>Geometry does not conform to S-100 (self-intersection).</v>
      </c>
      <c r="E28" s="63" t="str">
        <v>For each surface where the exterior boundary shares more than one node with an interior boundary.</v>
      </c>
      <c r="F28" s="72" t="str">
        <v>Correct spatial object.</v>
      </c>
      <c r="G28" s="63" t="str">
        <v>S-100</v>
      </c>
      <c r="H28" s="79">
        <v>0</v>
      </c>
      <c r="I28" s="87" t="str">
        <v>1.0.0</v>
      </c>
      <c r="J28" s="84">
        <v>0</v>
      </c>
      <c r="K28" s="84" t="str">
        <v>2.0.0</v>
      </c>
      <c r="L28" s="85" t="str">
        <v>B, U</v>
      </c>
      <c r="M28" s="86" t="str">
        <v>Covered by generic check(s) in S-158:100.</v>
      </c>
      <c r="N28" s="43"/>
    </row>
    <row r="29" spans="1:14" ht="39" thickBot="1">
      <c r="A29" s="44" t="str">
        <v>131_ED1_174</v>
      </c>
      <c r="B29" s="45" t="str">
        <v>131_0074</v>
      </c>
      <c r="C29" s="8" t="str">
        <v>C</v>
      </c>
      <c r="D29" s="63" t="str">
        <v>Curve segments must be well formed. (Well formed curve segments)</v>
      </c>
      <c r="E29" s="63" t="str">
        <v>For each curve segment with &gt;1 segment and composite curve components where the individual components do not have coincident start/end points (e.g. end segment N != start segment N+1).</v>
      </c>
      <c r="F29" s="72" t="str">
        <v>Correct spatial object(s).</v>
      </c>
      <c r="G29" s="66" t="str">
        <v>S-100</v>
      </c>
      <c r="H29" s="79">
        <v>0</v>
      </c>
      <c r="I29" s="87" t="str">
        <v>1.0.0</v>
      </c>
      <c r="J29" s="84">
        <v>0</v>
      </c>
      <c r="K29" s="84" t="str">
        <v>2.0.0</v>
      </c>
      <c r="L29" s="85" t="str">
        <v>B, U</v>
      </c>
      <c r="M29" s="86" t="str">
        <v>Covered by generic check(s) in S-158:100.</v>
      </c>
      <c r="N29" s="43"/>
    </row>
    <row r="30" spans="1:14" s="46" customFormat="1" ht="26.25" thickBot="1">
      <c r="A30" s="44" t="str">
        <v>131_ED1_175</v>
      </c>
      <c r="B30" s="45" t="str">
        <v>131_0075</v>
      </c>
      <c r="C30" s="42" t="str">
        <v>C</v>
      </c>
      <c r="D30" s="56" t="str">
        <v>Spatial object error.</v>
      </c>
      <c r="E30" s="63" t="str">
        <v>For each feature of primitive surface where the exterior boundary is not oriented clockwise (surface to the right).</v>
      </c>
      <c r="F30" s="72" t="str">
        <v>Correct spatial object(s).</v>
      </c>
      <c r="G30" s="63" t="str">
        <v>S-100</v>
      </c>
      <c r="H30" s="79">
        <v>0</v>
      </c>
      <c r="I30" s="87" t="str">
        <v>1.0.0</v>
      </c>
      <c r="J30" s="84">
        <v>0</v>
      </c>
      <c r="K30" s="87" t="str">
        <v>2.0.0</v>
      </c>
      <c r="L30" s="85" t="str">
        <v>B, U</v>
      </c>
      <c r="M30" s="86" t="str">
        <v>Covered by generic check(s) in S-158:100.</v>
      </c>
      <c r="N30" s="43"/>
    </row>
    <row r="31" spans="1:14" s="46" customFormat="1" ht="26.25" thickBot="1">
      <c r="A31" s="44" t="str">
        <v>131_ED1_176</v>
      </c>
      <c r="B31" s="45" t="str">
        <v>131_0076</v>
      </c>
      <c r="C31" s="48" t="str">
        <v>C</v>
      </c>
      <c r="D31" s="64" t="str">
        <v>Spatial object error.</v>
      </c>
      <c r="E31" s="63" t="str">
        <v>For each feature of primitive surface where an interior boundary is not oriented anti-clockwise (surface to the right).</v>
      </c>
      <c r="F31" s="72" t="str">
        <v>Correct spatial object(s).</v>
      </c>
      <c r="G31" s="63" t="str">
        <v>S-100</v>
      </c>
      <c r="H31" s="79">
        <v>0</v>
      </c>
      <c r="I31" s="87" t="str">
        <v>1.0.0</v>
      </c>
      <c r="J31" s="84">
        <v>0</v>
      </c>
      <c r="K31" s="84" t="str">
        <v>2.0.0</v>
      </c>
      <c r="L31" s="85" t="str">
        <v>B, U</v>
      </c>
      <c r="M31" s="86" t="str">
        <v>Covered by generic check(s) in S-158:100.</v>
      </c>
      <c r="N31" s="43"/>
    </row>
    <row r="32" spans="1:14" ht="26.25" thickBot="1">
      <c r="A32" s="44" t="str">
        <v>131_ED1_177</v>
      </c>
      <c r="B32" s="45" t="str">
        <v>131_0077</v>
      </c>
      <c r="C32" s="8" t="str">
        <v>C</v>
      </c>
      <c r="D32" s="65" t="str">
        <v>Spatial object error</v>
      </c>
      <c r="E32" s="62" t="str">
        <v>For each surface where an interior boundary is within an interior boundary.</v>
      </c>
      <c r="F32" s="72" t="str">
        <v>Correct spatial object(s).</v>
      </c>
      <c r="G32" s="63" t="str">
        <v>S-100</v>
      </c>
      <c r="H32" s="80">
        <v>0</v>
      </c>
      <c r="I32" s="84" t="str">
        <v>1.0.0</v>
      </c>
      <c r="J32" s="84">
        <v>0</v>
      </c>
      <c r="K32" s="87" t="str">
        <v>2.0.0</v>
      </c>
      <c r="L32" s="85" t="str">
        <v>B, U</v>
      </c>
      <c r="M32" s="86" t="str">
        <v>Covered by generic check(s) in S-158:100.</v>
      </c>
      <c r="N32" s="43"/>
    </row>
    <row r="33" spans="1:13" ht="26.25" thickBot="1">
      <c r="A33" s="44" t="str">
        <v>131_ED1_178</v>
      </c>
      <c r="B33" s="45" t="str">
        <v>131_0078</v>
      </c>
      <c r="C33" s="3" t="str">
        <v>C</v>
      </c>
      <c r="D33" s="65" t="str">
        <v xml:space="preserve"> (interiors can not be inside interiors).</v>
      </c>
      <c r="E33" s="63" t="str">
        <v>For each surface where an interior boundary is not within one exterior boundary.</v>
      </c>
      <c r="F33" s="77" t="str">
        <v>Correct spatial object(s).</v>
      </c>
      <c r="G33" s="63" t="str">
        <v>S-100</v>
      </c>
      <c r="H33" s="81">
        <v>0</v>
      </c>
      <c r="I33" s="84" t="str">
        <v>1.0.0</v>
      </c>
      <c r="J33" s="84">
        <v>0</v>
      </c>
      <c r="K33" s="87" t="str">
        <v>2.0.0</v>
      </c>
      <c r="L33" s="85" t="str">
        <v>B, U</v>
      </c>
      <c r="M33" s="86" t="str">
        <v>Covered by generic check(s) in S-158:100.</v>
      </c>
    </row>
    <row r="34" spans="1:13" ht="26.25" thickBot="1">
      <c r="A34" s="44" t="str">
        <v>131_ED1_179</v>
      </c>
      <c r="B34" s="45" t="str">
        <v>131_0079</v>
      </c>
      <c r="C34" s="3" t="str">
        <v>C</v>
      </c>
      <c r="D34" s="58" t="str">
        <v>Spatial object error.</v>
      </c>
      <c r="E34" s="63" t="str">
        <v>For each surface where an exterior boundary is within an interior boundary.</v>
      </c>
      <c r="F34" s="77" t="str">
        <v>Correct spatial object(s).</v>
      </c>
      <c r="G34" s="63" t="str">
        <v>S-100</v>
      </c>
      <c r="H34" s="81">
        <v>0</v>
      </c>
      <c r="I34" s="84" t="str">
        <v>1.0.0</v>
      </c>
      <c r="J34" s="84">
        <v>0</v>
      </c>
      <c r="K34" s="87" t="str">
        <v>2.0.0</v>
      </c>
      <c r="L34" s="85" t="str">
        <v>B, U</v>
      </c>
      <c r="M34" s="86" t="str">
        <v>Covered by generic check(s) in S-158:100.</v>
      </c>
    </row>
    <row r="35" spans="1:13" ht="26.25" thickBot="1">
      <c r="A35" s="44" t="str">
        <v>131_ED1_180</v>
      </c>
      <c r="B35" s="45" t="str">
        <v>131_0080</v>
      </c>
      <c r="C35" s="3" t="str">
        <v>C</v>
      </c>
      <c r="D35" s="58" t="str">
        <v>Spatial object error  (exteriors can not be inside interiors)</v>
      </c>
      <c r="E35" s="63" t="str">
        <v xml:space="preserve">For each feature of geometric primitive surface with &gt;1 spatial associations (SPAS) ? </v>
      </c>
      <c r="F35" s="77" t="str">
        <v>Correct spatial object(s).</v>
      </c>
      <c r="G35" s="63" t="str">
        <v>S-100</v>
      </c>
      <c r="H35" s="81">
        <v>0</v>
      </c>
      <c r="I35" s="84" t="str">
        <v>1.0.0</v>
      </c>
      <c r="J35" s="84">
        <v>0</v>
      </c>
      <c r="K35" s="87" t="str">
        <v>2.0.0</v>
      </c>
      <c r="L35" s="85" t="str">
        <v>B, U</v>
      </c>
      <c r="M35" s="86" t="str">
        <v>Covered by generic check(s) in S-158:100.</v>
      </c>
    </row>
    <row r="36" spans="1:13" ht="39" thickBot="1">
      <c r="A36" s="44" t="str">
        <v>131_ED1_181</v>
      </c>
      <c r="B36" s="45" t="str">
        <v>131_0081</v>
      </c>
      <c r="C36" s="3" t="str">
        <v>C</v>
      </c>
      <c r="D36" s="62" t="str">
        <v>Spatial object error. (Surface features must associate with only one surface)</v>
      </c>
      <c r="E36" s="63" t="str">
        <v>Curves and Composite curves (including Polygons referenced by Surface features in level 3a/b) must not self-intersect [defined with reference to diagram].</v>
      </c>
      <c r="F36" s="77" t="str">
        <v>Correct spatial object(s).</v>
      </c>
      <c r="G36" s="63" t="str">
        <v>S-100</v>
      </c>
      <c r="H36" s="81">
        <v>0</v>
      </c>
      <c r="I36" s="84" t="str">
        <v>1.0.0</v>
      </c>
      <c r="J36" s="84">
        <v>0</v>
      </c>
      <c r="K36" s="87" t="str">
        <v>2.0.0</v>
      </c>
      <c r="L36" s="85" t="str">
        <v>B, U</v>
      </c>
      <c r="M36" s="86" t="str">
        <v>Covered by generic check(s) in S-158:100.</v>
      </c>
    </row>
    <row r="37" spans="1:13" ht="51.75" thickBot="1">
      <c r="A37" s="44" t="str">
        <v>131_ED1_182</v>
      </c>
      <c r="B37" s="45" t="str">
        <v>131_0082</v>
      </c>
      <c r="C37" s="3" t="str">
        <v>C</v>
      </c>
      <c r="D37" s="62" t="str">
        <v>Spatial object error.  (Self-intersection)</v>
      </c>
      <c r="E37" s="63" t="str">
        <v>Each composite curve must be continuous. The end point of each component (taking into account the orientation) must be a duplicate of the start point of the next curve component (again, taking into account the orientation).</v>
      </c>
      <c r="F37" s="77" t="str">
        <v>Correct spatial object(s).</v>
      </c>
      <c r="G37" s="63" t="str">
        <v>S-100</v>
      </c>
      <c r="H37" s="81">
        <v>0</v>
      </c>
      <c r="I37" s="84" t="str">
        <v>1.0.0</v>
      </c>
      <c r="J37" s="84">
        <v>0</v>
      </c>
      <c r="K37" s="87" t="str">
        <v>2.0.0</v>
      </c>
      <c r="L37" s="85" t="str">
        <v>B, U</v>
      </c>
      <c r="M37" s="86" t="str">
        <v>Covered by generic check(s) in S-158:100.</v>
      </c>
    </row>
    <row r="38" spans="1:13" ht="39" thickBot="1">
      <c r="A38" s="44" t="str">
        <v>131_ED1_183</v>
      </c>
      <c r="B38" s="45" t="str">
        <v>131_0083</v>
      </c>
      <c r="C38" s="3" t="str">
        <v>C</v>
      </c>
      <c r="D38" s="62" t="str">
        <v>Spatial object error.  (Composite curves must be well defined.)</v>
      </c>
      <c r="E38" s="63" t="str">
        <v>Curve Segments must not start or end with repeated vertices. Segments must not repeat any vertex (this constitutes self-intersection). (For each curve component with EQUAL consecutive vertices.)</v>
      </c>
      <c r="F38" s="77" t="str">
        <v>Correct spatial object(s).</v>
      </c>
      <c r="G38" s="63" t="str">
        <v>S-100</v>
      </c>
      <c r="H38" s="81">
        <v>0</v>
      </c>
      <c r="I38" s="84" t="str">
        <v>1.0.0</v>
      </c>
      <c r="J38" s="84">
        <v>0</v>
      </c>
      <c r="K38" s="84" t="str">
        <v>2.0.0</v>
      </c>
      <c r="L38" s="85" t="str">
        <v>B, U</v>
      </c>
      <c r="M38" s="86" t="str">
        <v>Covered by generic check(s) in S-158:100.</v>
      </c>
    </row>
    <row r="39" spans="1:13" ht="26.25" thickBot="1">
      <c r="A39" s="44" t="str">
        <v>131_ED1_184</v>
      </c>
      <c r="B39" s="45" t="str">
        <v>131_0084</v>
      </c>
      <c r="C39" s="3" t="str">
        <v>C</v>
      </c>
      <c r="D39" s="66" t="str">
        <v>Spatial object error.  (No self-intersection (repeated vertices))</v>
      </c>
      <c r="E39" s="63" t="str">
        <v>A closed curve must have two or more intermediate vertices (or it self-intersects).</v>
      </c>
      <c r="F39" s="77" t="str">
        <v>Correct spatial object(s).</v>
      </c>
      <c r="G39" s="63" t="str">
        <v>S-100</v>
      </c>
      <c r="H39" s="81">
        <v>0</v>
      </c>
      <c r="I39" s="84" t="str">
        <v>1.0.0</v>
      </c>
      <c r="J39" s="84">
        <v>0</v>
      </c>
      <c r="K39" s="84" t="str">
        <v>2.0.0</v>
      </c>
      <c r="L39" s="85" t="str">
        <v>B, U</v>
      </c>
      <c r="M39" s="86" t="str">
        <v>Covered by generic check(s) in S-158:100.</v>
      </c>
    </row>
    <row r="40" spans="1:13" ht="13.5" thickBot="1">
      <c r="A40" s="44"/>
      <c r="B40" s="45"/>
      <c r="D40" s="62"/>
      <c r="E40" s="63"/>
      <c r="F40" s="77"/>
      <c r="G40" s="63"/>
      <c r="H40" s="79"/>
      <c r="I40" s="84"/>
      <c r="J40" s="84"/>
      <c r="K40" s="84"/>
      <c r="L40" s="85"/>
      <c r="M40" s="86"/>
    </row>
    <row r="41" spans="1:13" ht="13.5" thickBot="1">
      <c r="A41" s="44"/>
      <c r="B41" s="45"/>
      <c r="D41" s="63"/>
      <c r="E41" s="63"/>
      <c r="F41" s="77"/>
      <c r="G41" s="63"/>
      <c r="H41" s="79"/>
      <c r="I41" s="84"/>
      <c r="J41" s="84"/>
      <c r="K41" s="84"/>
      <c r="L41" s="85"/>
      <c r="M41" s="86"/>
    </row>
    <row r="42" spans="1:13" ht="13.5" thickBot="1">
      <c r="A42" s="44"/>
      <c r="B42" s="45"/>
      <c r="D42" s="63"/>
      <c r="E42" s="63"/>
      <c r="F42" s="77"/>
      <c r="G42" s="63"/>
      <c r="H42" s="79"/>
      <c r="I42" s="84"/>
      <c r="J42" s="84"/>
      <c r="K42" s="84"/>
      <c r="L42" s="85"/>
      <c r="M42" s="86"/>
    </row>
    <row r="43" spans="1:13" ht="13.5" thickBot="1">
      <c r="A43" s="44"/>
      <c r="B43" s="45"/>
      <c r="D43" s="63"/>
      <c r="E43" s="63"/>
      <c r="F43" s="77"/>
      <c r="G43" s="63"/>
      <c r="H43" s="79"/>
      <c r="I43" s="84"/>
      <c r="J43" s="84"/>
      <c r="K43" s="84"/>
      <c r="L43" s="85"/>
      <c r="M43" s="86"/>
    </row>
    <row r="44" spans="1:13" ht="13.5" thickBot="1">
      <c r="A44" s="44"/>
      <c r="B44" s="45"/>
      <c r="D44" s="63"/>
      <c r="E44" s="63"/>
      <c r="F44" s="77"/>
      <c r="G44" s="63"/>
      <c r="H44" s="79"/>
      <c r="I44" s="84"/>
      <c r="J44" s="84"/>
      <c r="K44" s="84"/>
      <c r="L44" s="85"/>
      <c r="M44" s="86"/>
    </row>
    <row r="45" spans="1:13" ht="13.5" thickBot="1">
      <c r="A45" s="44"/>
      <c r="B45" s="45"/>
      <c r="D45" s="63"/>
      <c r="E45" s="63"/>
      <c r="F45" s="77"/>
      <c r="G45" s="63"/>
      <c r="H45" s="79"/>
      <c r="I45" s="84"/>
      <c r="J45" s="84"/>
      <c r="K45" s="84"/>
      <c r="L45" s="85"/>
      <c r="M45" s="86"/>
    </row>
    <row r="46" spans="1:13" ht="13.5" thickBot="1">
      <c r="A46" s="44"/>
      <c r="B46" s="45"/>
      <c r="D46" s="63"/>
      <c r="E46" s="63"/>
      <c r="F46" s="77"/>
      <c r="G46" s="63"/>
      <c r="H46" s="81"/>
      <c r="I46" s="84"/>
      <c r="J46" s="84"/>
      <c r="K46" s="84"/>
      <c r="L46" s="88"/>
      <c r="M46" s="86"/>
    </row>
    <row r="47" spans="1:13" ht="13.5" thickBot="1">
      <c r="A47" s="44"/>
      <c r="B47" s="45"/>
      <c r="D47" s="63"/>
      <c r="E47" s="63"/>
      <c r="F47" s="77"/>
      <c r="G47" s="63"/>
      <c r="H47" s="81"/>
      <c r="I47" s="84"/>
      <c r="J47" s="84"/>
      <c r="K47" s="84"/>
      <c r="L47" s="88"/>
      <c r="M47" s="86"/>
    </row>
    <row r="48" spans="1:13" ht="13.5" thickBot="1">
      <c r="A48" s="44"/>
      <c r="B48" s="45"/>
      <c r="D48" s="63"/>
      <c r="E48" s="63"/>
      <c r="F48" s="77"/>
      <c r="G48" s="63"/>
      <c r="H48" s="79"/>
      <c r="I48" s="84"/>
      <c r="J48" s="84"/>
      <c r="K48" s="84"/>
      <c r="L48" s="88"/>
      <c r="M48" s="86"/>
    </row>
    <row r="49" spans="1:13" ht="13.5" thickBot="1">
      <c r="A49" s="44"/>
      <c r="B49" s="45"/>
      <c r="D49" s="63"/>
      <c r="E49" s="63"/>
      <c r="F49" s="77"/>
      <c r="G49" s="63"/>
      <c r="H49" s="81"/>
      <c r="I49" s="84"/>
      <c r="J49" s="84"/>
      <c r="K49" s="84"/>
      <c r="L49" s="88"/>
      <c r="M49" s="86"/>
    </row>
    <row r="50" spans="1:13" ht="13.5" thickBot="1">
      <c r="A50" s="44"/>
      <c r="B50" s="45"/>
      <c r="D50" s="63"/>
      <c r="E50" s="63"/>
      <c r="F50" s="77"/>
      <c r="G50" s="63"/>
      <c r="H50" s="81"/>
      <c r="I50" s="84"/>
      <c r="J50" s="84"/>
      <c r="K50" s="84"/>
      <c r="L50" s="88"/>
      <c r="M50" s="86"/>
    </row>
    <row r="51" spans="1:13" ht="13.5" thickBot="1">
      <c r="A51" s="44"/>
      <c r="B51" s="45"/>
      <c r="D51" s="63"/>
      <c r="E51" s="63"/>
      <c r="F51" s="77"/>
      <c r="G51" s="63"/>
      <c r="H51" s="79"/>
      <c r="I51" s="84"/>
      <c r="J51" s="84"/>
      <c r="K51" s="87"/>
      <c r="L51" s="88"/>
      <c r="M51" s="86"/>
    </row>
    <row r="52" spans="1:13" ht="13.5" thickBot="1">
      <c r="A52" s="44"/>
      <c r="B52" s="45"/>
      <c r="D52" s="63"/>
      <c r="E52" s="63"/>
      <c r="F52" s="77"/>
      <c r="G52" s="63"/>
      <c r="H52" s="79"/>
      <c r="I52" s="84"/>
      <c r="J52" s="84"/>
      <c r="K52" s="84"/>
      <c r="L52" s="88"/>
      <c r="M52" s="86"/>
    </row>
    <row r="53" spans="1:13" ht="13.5" thickBot="1">
      <c r="A53" s="44"/>
      <c r="B53" s="45"/>
      <c r="D53" s="63"/>
      <c r="E53" s="63"/>
      <c r="F53" s="77"/>
      <c r="G53" s="63"/>
      <c r="H53" s="81"/>
      <c r="I53" s="84"/>
      <c r="J53" s="84"/>
      <c r="K53" s="84"/>
      <c r="L53" s="88"/>
      <c r="M53" s="86"/>
    </row>
    <row r="54" spans="1:13" ht="13.5" thickBot="1">
      <c r="A54" s="44"/>
      <c r="B54" s="45"/>
      <c r="D54" s="63"/>
      <c r="E54" s="63"/>
      <c r="F54" s="77"/>
      <c r="G54" s="63"/>
      <c r="H54" s="79"/>
      <c r="I54" s="84"/>
      <c r="J54" s="84"/>
      <c r="K54" s="84"/>
      <c r="L54" s="88"/>
      <c r="M54" s="86"/>
    </row>
    <row r="55" spans="1:13" ht="13.5" thickBot="1">
      <c r="A55" s="44"/>
      <c r="B55" s="45"/>
      <c r="D55" s="63"/>
      <c r="E55" s="63"/>
      <c r="F55" s="77"/>
      <c r="G55" s="63"/>
      <c r="H55" s="81"/>
      <c r="I55" s="84"/>
      <c r="J55" s="84"/>
      <c r="K55" s="84"/>
      <c r="L55" s="88"/>
      <c r="M55" s="86"/>
    </row>
    <row r="56" spans="1:13" ht="13.5" thickBot="1">
      <c r="A56" s="44"/>
      <c r="B56" s="45"/>
      <c r="D56" s="63"/>
      <c r="E56" s="63"/>
      <c r="F56" s="77"/>
      <c r="G56" s="63"/>
      <c r="H56" s="81"/>
      <c r="I56" s="84"/>
      <c r="J56" s="84"/>
      <c r="K56" s="84"/>
      <c r="L56" s="88"/>
      <c r="M56" s="86"/>
    </row>
    <row r="57" spans="1:13" ht="13.5" thickBot="1">
      <c r="A57" s="44"/>
      <c r="B57" s="45"/>
      <c r="D57" s="63"/>
      <c r="E57" s="63"/>
      <c r="F57" s="77"/>
      <c r="G57" s="63"/>
      <c r="H57" s="81"/>
      <c r="I57" s="84"/>
      <c r="J57" s="84"/>
      <c r="K57" s="84"/>
      <c r="L57" s="88"/>
      <c r="M57" s="86"/>
    </row>
    <row r="58" spans="1:13" ht="13.5" thickBot="1">
      <c r="A58" s="44"/>
      <c r="B58" s="45"/>
      <c r="D58" s="63"/>
      <c r="E58" s="63"/>
      <c r="F58" s="77"/>
      <c r="G58" s="63"/>
      <c r="H58" s="79"/>
      <c r="I58" s="84"/>
      <c r="J58" s="84"/>
      <c r="K58" s="84"/>
      <c r="L58" s="88"/>
      <c r="M58" s="86"/>
    </row>
    <row r="59" spans="1:13" ht="13.5" thickBot="1">
      <c r="A59" s="44"/>
      <c r="B59" s="45"/>
      <c r="D59" s="62"/>
      <c r="E59" s="63"/>
      <c r="F59" s="77"/>
      <c r="G59" s="63"/>
      <c r="H59" s="79"/>
      <c r="I59" s="84"/>
      <c r="J59" s="84"/>
      <c r="K59" s="84"/>
      <c r="L59" s="88"/>
      <c r="M59" s="86"/>
    </row>
    <row r="60" spans="1:13" ht="13.5" thickBot="1">
      <c r="A60" s="44"/>
      <c r="B60" s="45"/>
      <c r="D60" s="66"/>
      <c r="E60" s="62"/>
      <c r="F60" s="77"/>
      <c r="G60" s="63"/>
      <c r="H60" s="81"/>
      <c r="I60" s="84"/>
      <c r="J60" s="84"/>
      <c r="K60" s="84"/>
      <c r="L60" s="88"/>
      <c r="M60" s="86"/>
    </row>
    <row r="61" spans="1:13" ht="13.5" thickBot="1">
      <c r="A61" s="44"/>
      <c r="B61" s="45"/>
      <c r="D61" s="62"/>
      <c r="E61" s="66"/>
      <c r="F61" s="77"/>
      <c r="G61" s="63"/>
      <c r="H61" s="81"/>
      <c r="I61" s="84"/>
      <c r="J61" s="84"/>
      <c r="K61" s="87"/>
      <c r="L61" s="88"/>
      <c r="M61" s="86"/>
    </row>
    <row r="62" spans="1:13" ht="13.5" thickBot="1">
      <c r="A62" s="44"/>
      <c r="B62" s="45"/>
      <c r="D62" s="63"/>
      <c r="E62" s="63"/>
      <c r="F62" s="77"/>
      <c r="G62" s="63"/>
      <c r="H62" s="79"/>
      <c r="I62" s="84"/>
      <c r="J62" s="84"/>
      <c r="K62" s="87"/>
      <c r="L62" s="88"/>
      <c r="M62" s="86"/>
    </row>
    <row r="63" spans="1:13" ht="13.5" thickBot="1">
      <c r="A63" s="44"/>
      <c r="B63" s="45"/>
      <c r="D63" s="63"/>
      <c r="E63" s="63"/>
      <c r="F63" s="77"/>
      <c r="G63" s="63"/>
      <c r="H63" s="79"/>
      <c r="I63" s="84"/>
      <c r="J63" s="84"/>
      <c r="K63" s="87"/>
      <c r="L63" s="88"/>
      <c r="M63" s="86"/>
    </row>
    <row r="64" spans="1:13" ht="13.5" thickBot="1">
      <c r="A64" s="44"/>
      <c r="B64" s="45"/>
      <c r="D64" s="63"/>
      <c r="E64" s="63"/>
      <c r="F64" s="77"/>
      <c r="G64" s="63"/>
      <c r="H64" s="79"/>
      <c r="I64" s="84"/>
      <c r="J64" s="84"/>
      <c r="K64" s="87"/>
      <c r="L64" s="88"/>
      <c r="M64" s="86"/>
    </row>
    <row r="65" spans="1:13" ht="13.5" thickBot="1">
      <c r="A65" s="44"/>
      <c r="B65" s="45"/>
      <c r="D65" s="63"/>
      <c r="E65" s="66"/>
      <c r="F65" s="77"/>
      <c r="G65" s="63"/>
      <c r="H65" s="81"/>
      <c r="I65" s="84"/>
      <c r="J65" s="84"/>
      <c r="K65" s="87"/>
      <c r="L65" s="88"/>
      <c r="M65" s="86"/>
    </row>
    <row r="66" spans="1:13" ht="13.5" thickBot="1">
      <c r="A66" s="44"/>
      <c r="B66" s="45"/>
      <c r="D66" s="63"/>
      <c r="E66" s="63"/>
      <c r="F66" s="77"/>
      <c r="G66" s="63"/>
      <c r="H66" s="79"/>
      <c r="I66" s="84"/>
      <c r="J66" s="84"/>
      <c r="K66" s="87"/>
      <c r="L66" s="88"/>
      <c r="M66" s="86"/>
    </row>
    <row r="67" spans="1:13" ht="13.5" thickBot="1">
      <c r="A67" s="44"/>
      <c r="B67" s="45"/>
      <c r="D67" s="63"/>
      <c r="E67" s="63"/>
      <c r="F67" s="77"/>
      <c r="G67" s="63"/>
      <c r="H67" s="81"/>
      <c r="I67" s="84"/>
      <c r="J67" s="84"/>
      <c r="K67" s="84"/>
      <c r="L67" s="88"/>
      <c r="M67" s="86"/>
    </row>
    <row r="68" spans="1:13" ht="13.5" thickBot="1">
      <c r="A68" s="44"/>
      <c r="B68" s="45"/>
      <c r="D68" s="63"/>
      <c r="E68" s="63"/>
      <c r="F68" s="77"/>
      <c r="G68" s="63"/>
      <c r="H68" s="79"/>
      <c r="I68" s="84"/>
      <c r="J68" s="84"/>
      <c r="K68" s="84"/>
      <c r="L68" s="88"/>
      <c r="M68" s="86"/>
    </row>
    <row r="69" spans="1:13" ht="13.5" thickBot="1">
      <c r="A69" s="44"/>
      <c r="B69" s="45"/>
      <c r="D69" s="63"/>
      <c r="E69" s="63"/>
      <c r="F69" s="77"/>
      <c r="G69" s="63"/>
      <c r="H69" s="79"/>
      <c r="I69" s="84"/>
      <c r="J69" s="84"/>
      <c r="K69" s="84"/>
      <c r="L69" s="88"/>
      <c r="M69" s="86"/>
    </row>
    <row r="70" spans="1:13" ht="13.5" thickBot="1">
      <c r="A70" s="44"/>
      <c r="B70" s="45"/>
      <c r="D70" s="63"/>
      <c r="E70" s="63"/>
      <c r="F70" s="77"/>
      <c r="G70" s="63"/>
      <c r="H70" s="79"/>
      <c r="I70" s="84"/>
      <c r="J70" s="84"/>
      <c r="K70" s="84"/>
      <c r="L70" s="88"/>
      <c r="M70" s="86"/>
    </row>
    <row r="71" spans="1:13" ht="13.5" thickBot="1">
      <c r="A71" s="44"/>
      <c r="B71" s="45"/>
      <c r="D71" s="63"/>
      <c r="E71" s="63"/>
      <c r="F71" s="77"/>
      <c r="G71" s="63"/>
      <c r="H71" s="79"/>
      <c r="I71" s="84"/>
      <c r="J71" s="84"/>
      <c r="K71" s="84"/>
      <c r="L71" s="88"/>
      <c r="M71" s="86"/>
    </row>
    <row r="72" spans="1:13" ht="13.5" thickBot="1">
      <c r="A72" s="44"/>
      <c r="B72" s="45"/>
      <c r="D72" s="63"/>
      <c r="E72" s="63"/>
      <c r="F72" s="77"/>
      <c r="G72" s="63"/>
      <c r="H72" s="79"/>
      <c r="I72" s="84"/>
      <c r="J72" s="84"/>
      <c r="K72" s="84"/>
      <c r="L72" s="88"/>
      <c r="M72" s="86"/>
    </row>
    <row r="73" spans="1:13" ht="13.5" thickBot="1">
      <c r="A73" s="44"/>
      <c r="B73" s="45"/>
      <c r="D73" s="63"/>
      <c r="E73" s="63"/>
      <c r="F73" s="77"/>
      <c r="G73" s="63"/>
      <c r="H73" s="79"/>
      <c r="I73" s="84"/>
      <c r="J73" s="84"/>
      <c r="K73" s="84"/>
      <c r="L73" s="88"/>
      <c r="M73" s="86"/>
    </row>
    <row r="74" spans="1:13" ht="13.5" thickBot="1">
      <c r="A74" s="44"/>
      <c r="B74" s="45"/>
      <c r="D74" s="62"/>
      <c r="E74" s="63"/>
      <c r="F74" s="77"/>
      <c r="G74" s="63"/>
      <c r="H74" s="81"/>
      <c r="I74" s="84"/>
      <c r="J74" s="84"/>
      <c r="K74" s="84"/>
      <c r="L74" s="88"/>
      <c r="M74" s="86"/>
    </row>
    <row r="75" spans="1:13" ht="13.5" thickBot="1">
      <c r="A75" s="44"/>
      <c r="B75" s="45"/>
      <c r="D75" s="62"/>
      <c r="E75" s="63"/>
      <c r="F75" s="77"/>
      <c r="G75" s="63"/>
      <c r="H75" s="81"/>
      <c r="I75" s="84"/>
      <c r="J75" s="84"/>
      <c r="K75" s="84"/>
      <c r="L75" s="88"/>
      <c r="M75" s="86"/>
    </row>
    <row r="76" spans="1:13" ht="13.5" thickBot="1">
      <c r="A76" s="44"/>
      <c r="B76" s="45"/>
      <c r="D76" s="64"/>
      <c r="E76" s="63"/>
      <c r="F76" s="77"/>
      <c r="G76" s="63"/>
      <c r="H76" s="81"/>
      <c r="I76" s="84"/>
      <c r="J76" s="84"/>
      <c r="K76" s="84"/>
      <c r="L76" s="88"/>
      <c r="M76" s="86"/>
    </row>
    <row r="77" spans="1:13" ht="13.5" thickBot="1">
      <c r="A77" s="44"/>
      <c r="B77" s="45"/>
      <c r="D77" s="64"/>
      <c r="E77" s="63"/>
      <c r="F77" s="77"/>
      <c r="G77" s="63"/>
      <c r="H77" s="81"/>
      <c r="I77" s="84"/>
      <c r="J77" s="84"/>
      <c r="K77" s="84"/>
      <c r="L77" s="88"/>
      <c r="M77" s="86"/>
    </row>
    <row r="78" spans="1:13" ht="13.5" thickBot="1">
      <c r="A78" s="44"/>
      <c r="B78" s="45"/>
      <c r="D78" s="64"/>
      <c r="E78" s="63"/>
      <c r="F78" s="77"/>
      <c r="G78" s="63"/>
      <c r="H78" s="81"/>
      <c r="I78" s="84"/>
      <c r="J78" s="84"/>
      <c r="K78" s="84"/>
      <c r="L78" s="88"/>
      <c r="M78" s="86"/>
    </row>
    <row r="79" spans="1:13" ht="13.5" thickBot="1">
      <c r="A79" s="44"/>
      <c r="B79" s="45"/>
      <c r="D79" s="64"/>
      <c r="E79" s="63"/>
      <c r="F79" s="77"/>
      <c r="G79" s="63"/>
      <c r="H79" s="81"/>
      <c r="I79" s="84"/>
      <c r="J79" s="84"/>
      <c r="K79" s="84"/>
      <c r="L79" s="88"/>
      <c r="M79" s="86"/>
    </row>
    <row r="80" spans="1:13" ht="13.5" thickBot="1">
      <c r="A80" s="44"/>
      <c r="B80" s="45"/>
      <c r="D80" s="64"/>
      <c r="E80" s="63"/>
      <c r="F80" s="77"/>
      <c r="G80" s="63"/>
      <c r="H80" s="81"/>
      <c r="I80" s="84"/>
      <c r="J80" s="84"/>
      <c r="K80" s="84"/>
      <c r="L80" s="88"/>
      <c r="M80" s="86"/>
    </row>
    <row r="81" spans="1:13" ht="13.5" thickBot="1">
      <c r="A81" s="44"/>
      <c r="B81" s="45"/>
      <c r="D81" s="64"/>
      <c r="E81" s="63"/>
      <c r="F81" s="77"/>
      <c r="G81" s="63"/>
      <c r="H81" s="81"/>
      <c r="I81" s="84"/>
      <c r="J81" s="84"/>
      <c r="K81" s="84"/>
      <c r="L81" s="88"/>
      <c r="M81" s="86"/>
    </row>
    <row r="82" spans="1:13" ht="13.5" thickBot="1">
      <c r="A82" s="44"/>
      <c r="B82" s="45"/>
      <c r="D82" s="64"/>
      <c r="E82" s="63"/>
      <c r="F82" s="77"/>
      <c r="G82" s="63"/>
      <c r="H82" s="81"/>
      <c r="I82" s="84"/>
      <c r="J82" s="84"/>
      <c r="K82" s="84"/>
      <c r="L82" s="88"/>
      <c r="M82" s="86"/>
    </row>
    <row r="83" spans="1:13" ht="13.5" thickBot="1">
      <c r="A83" s="44"/>
      <c r="B83" s="45"/>
      <c r="D83" s="64"/>
      <c r="E83" s="63"/>
      <c r="F83" s="77"/>
      <c r="G83" s="63"/>
      <c r="H83" s="81"/>
      <c r="I83" s="84"/>
      <c r="J83" s="84"/>
      <c r="K83" s="84"/>
      <c r="L83" s="88"/>
      <c r="M83" s="86"/>
    </row>
    <row r="84" spans="1:13" ht="13.5" thickBot="1">
      <c r="A84" s="44"/>
      <c r="B84" s="45"/>
      <c r="D84" s="64"/>
      <c r="E84" s="63"/>
      <c r="F84" s="77"/>
      <c r="G84" s="63"/>
      <c r="H84" s="81"/>
      <c r="I84" s="84"/>
      <c r="J84" s="84"/>
      <c r="K84" s="84"/>
      <c r="L84" s="88"/>
      <c r="M84" s="86"/>
    </row>
    <row r="85" spans="1:13" ht="13.5" thickBot="1">
      <c r="A85" s="44"/>
      <c r="B85" s="45"/>
      <c r="D85" s="64"/>
      <c r="E85" s="63"/>
      <c r="F85" s="77"/>
      <c r="G85" s="63"/>
      <c r="H85" s="81"/>
      <c r="I85" s="84"/>
      <c r="J85" s="84"/>
      <c r="K85" s="84"/>
      <c r="L85" s="88"/>
      <c r="M85" s="86"/>
    </row>
    <row r="86" spans="1:13" ht="13.5" thickBot="1">
      <c r="A86" s="44"/>
      <c r="B86" s="45"/>
      <c r="D86" s="64"/>
      <c r="E86" s="63"/>
      <c r="F86" s="77"/>
      <c r="G86" s="63"/>
      <c r="H86" s="79"/>
      <c r="I86" s="84"/>
      <c r="J86" s="84"/>
      <c r="K86" s="84"/>
      <c r="L86" s="88"/>
      <c r="M86" s="86"/>
    </row>
    <row r="87" spans="1:13" ht="13.5" thickBot="1">
      <c r="A87" s="44"/>
      <c r="B87" s="45"/>
      <c r="D87" s="65"/>
      <c r="F87" s="59"/>
    </row>
    <row r="88" spans="1:13">
      <c r="A88" s="44"/>
      <c r="B88" s="45"/>
      <c r="F88" s="59"/>
    </row>
    <row r="89" spans="1:13">
      <c r="A89" s="44"/>
      <c r="B89" s="45"/>
      <c r="F89" s="59"/>
    </row>
    <row r="90" spans="1:13">
      <c r="A90" s="44"/>
      <c r="B90" s="45"/>
      <c r="F90" s="59"/>
    </row>
    <row r="91" spans="1:13">
      <c r="A91" s="44"/>
      <c r="B91" s="45"/>
      <c r="F91" s="59"/>
    </row>
  </sheetData>
  <dataValidations count="1">
    <dataValidation type="list" allowBlank="1" showInputMessage="1" showErrorMessage="1" sqref="C2:C32" xr:uid="{87499D4D-ACC3-4CD8-8807-5DF1827879FA}">
      <formula1>"C,E,W"</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S131ValidationChecks metadata</vt:lpstr>
      <vt:lpstr>S131Checks</vt:lpstr>
      <vt:lpstr>DeletedS131Checks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2024-06-25T17:20:00Z</dcterms:created>
  <dcterms:modified xsi:type="dcterms:W3CDTF">2026-01-23T05:44:23Z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A2947D3279EC4CC0AF370B4689C04015_13</vt:lpwstr>
  </property>
  <property fmtid="{D5CDD505-2E9C-101B-9397-08002B2CF9AE}" pid="3" name="KSOProductBuildVer">
    <vt:lpwstr>2052-11.8.2.10534</vt:lpwstr>
  </property>
</Properties>
</file>