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E:\work\git\S-131-Product-Specification-Development\S158_131\1.0.0\"/>
    </mc:Choice>
  </mc:AlternateContent>
  <xr:revisionPtr revIDLastSave="0" documentId="13_ncr:1_{AEC47CE1-6FED-4FFF-BCC4-9DE9553925A1}" xr6:coauthVersionLast="47" xr6:coauthVersionMax="47" xr10:uidLastSave="{00000000-0000-0000-0000-000000000000}"/>
  <bookViews>
    <workbookView xWindow="-120" yWindow="-120" windowWidth="28110" windowHeight="18240" tabRatio="647" xr2:uid="{00000000-000D-0000-FFFF-FFFF00000000}"/>
  </bookViews>
  <sheets>
    <sheet name="S131ValidationChecks metadata" sheetId="11" r:id="rId1"/>
    <sheet name="S131Checks" sheetId="10" r:id="rId2"/>
  </sheets>
  <externalReferences>
    <externalReference r:id="rId3"/>
  </externalReferences>
  <definedNames>
    <definedName name="_xlnm._FilterDatabase" localSheetId="1" hidden="1">S131Checks!$K$1:$K$65</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5" i="10" l="1"/>
  <c r="A64" i="10"/>
  <c r="A63" i="10"/>
  <c r="A62" i="10"/>
  <c r="A61" i="10"/>
  <c r="A60" i="10"/>
  <c r="A59" i="10"/>
  <c r="A58" i="10"/>
  <c r="A57" i="10"/>
  <c r="A56" i="10"/>
  <c r="A55" i="10"/>
  <c r="A54" i="10"/>
  <c r="A53" i="10"/>
  <c r="A52" i="10"/>
  <c r="A51" i="10"/>
  <c r="A50" i="10"/>
  <c r="A49" i="10"/>
  <c r="B65" i="10"/>
  <c r="B64" i="10"/>
  <c r="B63" i="10"/>
  <c r="B62" i="10"/>
  <c r="B61" i="10"/>
  <c r="B60" i="10"/>
  <c r="B59" i="10"/>
  <c r="B58" i="10"/>
  <c r="B57" i="10"/>
  <c r="B56" i="10"/>
  <c r="B55" i="10"/>
  <c r="B54" i="10"/>
  <c r="B53" i="10"/>
  <c r="B52" i="10"/>
  <c r="B51" i="10"/>
  <c r="B50" i="10"/>
  <c r="B49" i="10"/>
  <c r="B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alcChain>
</file>

<file path=xl/sharedStrings.xml><?xml version="1.0" encoding="utf-8"?>
<sst xmlns="http://schemas.openxmlformats.org/spreadsheetml/2006/main" count="588" uniqueCount="326">
  <si>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</si>
  <si>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</si>
  <si>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</si>
  <si>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</si>
  <si>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</si>
  <si>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</si>
  <si>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</si>
  <si>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</si>
  <si>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</si>
  <si>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</si>
  <si>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</si>
  <si>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</si>
  <si>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</si>
  <si>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</si>
  <si>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</si>
  <si>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</si>
  <si>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</si>
  <si>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</si>
  <si>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</si>
  <si>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</si>
  <si>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</si>
  <si>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</si>
  <si>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</si>
  <si>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</si>
  <si>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</si>
  <si>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PS</t>
  </si>
  <si>
    <t>2.0.0</t>
  </si>
  <si>
    <t>Draft</t>
  </si>
  <si>
    <t>Ed.2.0.0</t>
  </si>
  <si>
    <t>S-100</t>
  </si>
  <si>
    <t>Ed. 5.2.0</t>
  </si>
  <si>
    <t>1.0.0</t>
  </si>
  <si>
    <t>S-158:131</t>
  </si>
  <si>
    <t>MARINE HARBOUR INFRASTRUCTURE VALIDATION CHECKS</t>
  </si>
  <si>
    <t>NIPWG/S-131 TASK GROUP</t>
  </si>
  <si>
    <t>S-131 PS</t>
  </si>
  <si>
    <t>S-131 DCEG</t>
  </si>
  <si>
    <t>S-131 FC</t>
  </si>
  <si>
    <t>For each feature object where its geometry is not COVERED_BY the UNION of all DataCoverage meta-features</t>
  </si>
  <si>
    <t>For each DataCoverage feature where the attributes maximum display scale and minimum display scale are Present AND value of maximum display scale is larger or equal to the value of the minimum display scales.</t>
  </si>
  <si>
    <t>For each DataCoverage feature that OVERLAPS or is WITHIN another DataCoverage.</t>
  </si>
  <si>
    <t>If any of the mandatory meta feature objects do not exist within the data set.</t>
  </si>
  <si>
    <t>For each feature object with an attribute of type Float or Integer where the value contains zeroes before the first numerical digit or after the last numerical digit.</t>
  </si>
  <si>
    <t>For each feature object with an attribute value identical to a corresponding attribute of a meta feature object it is COVERED_BY.</t>
  </si>
  <si>
    <t>For each text field using a character encoding different from UTF-8.</t>
  </si>
  <si>
    <t>For each object where textContent attribute is present, and two or more information sub-attributes are present, and the combination of fileReference and fileLocator  sub-attributes are equal.</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</si>
  <si>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</si>
  <si>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</si>
  <si>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t>For each feature instance which is not COVERED_BY the combined coverage of QualityOfNonBathymetricData  meta feature instances.</t>
  </si>
  <si>
    <t>For each feature instance where a depth attribute is present AND which is not COVERED_BY the combined coverage of SoundingDatum  meta feature instances.</t>
  </si>
  <si>
    <t>For each feature instance where an elevation attribute is present AND which is not COVERED_BY the combined coverage of VerticalDatumOfData  meta feature instances.</t>
  </si>
  <si>
    <t>If there is not exactly one instance each of SoundingDatum and VerticalDatumOfData present in the dataset.</t>
  </si>
  <si>
    <t>If the order of the data in a dataset is not correct.</t>
  </si>
  <si>
    <t>For each feature instance where periodicDateRange sub-attributes dateEnd and dateStart are notNull AND their values are identical.</t>
  </si>
  <si>
    <t xml:space="preserve">For each linear geometry which contains vertices at a density Greater than 0.3mm at maximum display scale. </t>
  </si>
  <si>
    <t xml:space="preserve">For each instance of ServiceHours where an instance of scheduleByDayOfWeek attribute has temporal overlaps specified by timeIntervalByDayOfWeek attribute. </t>
  </si>
  <si>
    <t>For each instance of ServiceHours with more than one instance of scheduleByDayOfWeek, and where an instance of scheduleByDayOfWeek has a temporal overlap with another instance of scheduleByDayOfWeek.</t>
  </si>
  <si>
    <t>For each feature instance which CROSS the 180° meridian.</t>
  </si>
  <si>
    <t>For each fixedDateRange where both dateEnd and dateStart are missing.</t>
  </si>
  <si>
    <t>For each fixedDateRange where dateEnd or dateStart is not Null but the year component is not specified.</t>
  </si>
  <si>
    <t>For each textContent attribute where both information and onlineResource are missing.</t>
  </si>
  <si>
    <t>For each information attribute where both fileReference and text sub-attributes are missing.</t>
  </si>
  <si>
    <t>For each instance of the text attribute that contains more than 300 characters</t>
  </si>
  <si>
    <t>For each contactAddress where all sub-attributes are missing.</t>
  </si>
  <si>
    <t>For each Applicability without at least one of its attributes populated, or with only logicalConnectives populated.</t>
  </si>
  <si>
    <t>For each ContactDetails with all attributes missing.</t>
  </si>
  <si>
    <t>For each weatherResource with both onlineResouce and textContent missing.</t>
  </si>
  <si>
    <t>For each weatherResource with dynamicResource = 2 or 3 and onlineResource missing.</t>
  </si>
  <si>
    <t>For each weatherResource with onlineResource present and  dynamicResource missing.</t>
  </si>
  <si>
    <t>For each SpatialQuality information type which is referenced by a Surface spatial object.</t>
  </si>
  <si>
    <t>For each SpatialQuality information type which has vertical uncertainty populated and is referenced by a Curve or Composite Curve spatial object.</t>
  </si>
  <si>
    <t>For each feature with more than one of the attributes bollardNumber, metreMarkNumber, manifoldNumber, rampNumber populated.</t>
  </si>
  <si>
    <t xml:space="preserve">Objects fall outside the coverage object. </t>
  </si>
  <si>
    <t>Maximum display scale is larger or equal to the value of the minimum display scale.</t>
  </si>
  <si>
    <t>Dataset contains overlapping DataCoverage features.</t>
  </si>
  <si>
    <t>DataCoverage features have different values of  the attribute minimum display scale.</t>
  </si>
  <si>
    <t xml:space="preserve">Mandatory meta feature objects are missing. </t>
  </si>
  <si>
    <t>Values have been padded with non-significant zeroes.</t>
  </si>
  <si>
    <t>An attribute value of a meta feature object is duplicated on a geo object.</t>
  </si>
  <si>
    <t xml:space="preserve"> Character encoding for text must be UTF-8.</t>
  </si>
  <si>
    <t>Values of “name” sub attribute of “featureName” are identical.</t>
  </si>
  <si>
    <t>Values for “text” sub-attribute of “information” are identical.</t>
  </si>
  <si>
    <t>Different languages information refers to the same external file and its fragment.</t>
  </si>
  <si>
    <t>File reference attribute refers to a file with inadmissible format.</t>
  </si>
  <si>
    <t>Name is encoded in national language only.</t>
  </si>
  <si>
    <t>Text is encoded in national language only</t>
  </si>
  <si>
    <t>Horizontal CRS is not EPSG 4326</t>
  </si>
  <si>
    <t>Feature instance not covered by an QualityOfNonBathymetricData instance.</t>
  </si>
  <si>
    <t>Feature instance not covered by SoundingDatum  instance.</t>
  </si>
  <si>
    <t>Feature instance not covered by VerticalDatumOfData  instance.</t>
  </si>
  <si>
    <t>Exactly one instance of SoundingDatum and VerticalDatumOfData are required.</t>
  </si>
  <si>
    <t>Incorrect data order.</t>
  </si>
  <si>
    <t>Object has identical values of periodicDateRange sub-attributes dateEnd and dateStart.</t>
  </si>
  <si>
    <t>Vertex density exceeds the allowable tolerance.</t>
  </si>
  <si>
    <t>Time intervals within the same scheduleByDayOfWeek attribute overlap.</t>
  </si>
  <si>
    <t>Schedule overlaps.</t>
  </si>
  <si>
    <t>Data crossing the 180° meridian.</t>
  </si>
  <si>
    <t>FixedDateRange not populated making the attribute meaningless.</t>
  </si>
  <si>
    <t>Year is required in fixedDateRange dates.</t>
  </si>
  <si>
    <t>TextContent is not populated with meaningful information.</t>
  </si>
  <si>
    <t>Information is not populated with meaningful information.</t>
  </si>
  <si>
    <t>Text attribute contains more than 300 characters.</t>
  </si>
  <si>
    <t>Contact address is not populated with meaningful information.</t>
  </si>
  <si>
    <t>Regulations, Restrictions, Recommendations, NauticalInformation not populated.</t>
  </si>
  <si>
    <t>Applicability is not populated with meaningful information.</t>
  </si>
  <si>
    <t>Logical connective not encoded in Applicability instance.</t>
  </si>
  <si>
    <t>Vessel measurements are mutually inconsistent.</t>
  </si>
  <si>
    <t>NonStandardWorkingDay not populated with meaningful information.</t>
  </si>
  <si>
    <t>ContactDetails not populated with meaningful information.</t>
  </si>
  <si>
    <t>Weather resource information is not present.</t>
  </si>
  <si>
    <t>Complex attributes for dynamic resources must indicate a source for the dynamic information.</t>
  </si>
  <si>
    <t>Complex attributes for online weather resources must indicate whether the resource is static or dynamic.</t>
  </si>
  <si>
    <t>SpatialQuality is associated with a Surface spatial object.</t>
  </si>
  <si>
    <t>Prohibited vertical uncertainty attribute of SpatialQuality for curve spatial object.</t>
  </si>
  <si>
    <t>Language code not from ISO 639-2/T list.</t>
  </si>
  <si>
    <t>Too many position numbers.</t>
  </si>
  <si>
    <t>For each Regulations, Restrictions, Recommendations, or NauticalInformation with both graphic and textContent missing.</t>
  </si>
  <si>
    <t>For each NonStandardWorkingDay with all of dateFixed, dateVariable, and information missing.</t>
  </si>
  <si>
    <t>Values for file reference and locator combinations are identical.</t>
  </si>
  <si>
    <t>Ensure objects are not outside of the limits of the cell.</t>
  </si>
  <si>
    <t>Correct values of maximum and minimum display scales.</t>
  </si>
  <si>
    <t>Remove overlap.</t>
  </si>
  <si>
    <t>Use the same values of minimum display scale.</t>
  </si>
  <si>
    <t>Include all mandatory meta feature objects</t>
  </si>
  <si>
    <t xml:space="preserve">Remove non-significant zeroes. </t>
  </si>
  <si>
    <t>Remove duplicate value from geo object.</t>
  </si>
  <si>
    <t>Change character encoding to UTF-8.</t>
  </si>
  <si>
    <t>Ensure that name sub-attributes are populated with the correct values.</t>
  </si>
  <si>
    <t>Ensure that text sub-attributes are populated with the correct values.</t>
  </si>
  <si>
    <t>Replace with the correct fileLocator and fileReference combination.</t>
  </si>
  <si>
    <t>Correct fileReference value and/or support file type.</t>
  </si>
  <si>
    <t>Ensure that national language attributes are populated with the correct values.</t>
  </si>
  <si>
    <t>Populate text attribute with English text.</t>
  </si>
  <si>
    <t>Populate name attribute with English text.</t>
  </si>
  <si>
    <t>Remove duplicate object</t>
  </si>
  <si>
    <t>Ensure full coverage of QualityOfNonBathymetricData instance.</t>
  </si>
  <si>
    <t>Ensure full coverage of SoundingDatum  instance.</t>
  </si>
  <si>
    <t>Ensure full coverage of VerticalDatumOfData  instance.</t>
  </si>
  <si>
    <t>Ensure that the dataset contains exactly one instance each of SoundingDatum and VerticalDatumOfData.</t>
  </si>
  <si>
    <t>Amend data order.</t>
  </si>
  <si>
    <t>Ensure values of periodicDateRange sub-attributes dateEnd and dateStart are logical.</t>
  </si>
  <si>
    <t>Generalise edge(s).</t>
  </si>
  <si>
    <t>Review time intervals and remove time overlap.</t>
  </si>
  <si>
    <t>Review service hour intervals and remove time overlap.</t>
  </si>
  <si>
    <t>Add file to exchange set or remove reference to file.</t>
  </si>
  <si>
    <t>Split the dataset along the 180° meridian.</t>
  </si>
  <si>
    <t>Amend values of dateEnd or dateStart accordingly.</t>
  </si>
  <si>
    <t>Populate year component of dateStart and dateEnd</t>
  </si>
  <si>
    <t>Reduce content of text attribute or move to support file.</t>
  </si>
  <si>
    <t>Populate at least one sub-attribute of contactAddress.</t>
  </si>
  <si>
    <t>Add the appropriate value of logicalConnectives.</t>
  </si>
  <si>
    <t>Correct the inconsistency.</t>
  </si>
  <si>
    <t>Populate at least one of onlineResource or textContent.</t>
  </si>
  <si>
    <t>Populate the onlineResource attibute.</t>
  </si>
  <si>
    <t>Populate the dynamicResource attibute.</t>
  </si>
  <si>
    <t>Remove prohibited association.</t>
  </si>
  <si>
    <t>Correct language code.</t>
  </si>
  <si>
    <t>Populate at least one of dateEnd or dateStart.</t>
  </si>
  <si>
    <t>Populate information or onlineResource.</t>
  </si>
  <si>
    <t>Populate fileReference or text attribute.</t>
  </si>
  <si>
    <t>Populate at least one of graphic and textContent.</t>
  </si>
  <si>
    <t>Populate at least one attribute of Applicability other than logicalConnectives.</t>
  </si>
  <si>
    <t>Populate at least one of dateFixed, dateVariable, and information.</t>
  </si>
  <si>
    <t>Populate at least one attribute of ContactDetails.</t>
  </si>
  <si>
    <t>DCEG</t>
  </si>
  <si>
    <t>E</t>
  </si>
  <si>
    <t>C</t>
  </si>
  <si>
    <t>W</t>
  </si>
  <si>
    <t>B, S</t>
  </si>
  <si>
    <t>B</t>
  </si>
  <si>
    <t>B, U</t>
  </si>
  <si>
    <t>B, U, S</t>
  </si>
  <si>
    <t>Apply To</t>
  </si>
  <si>
    <t>4.2</t>
  </si>
  <si>
    <t>12.4</t>
  </si>
  <si>
    <t>12.5</t>
  </si>
  <si>
    <t>2.4.9.2</t>
  </si>
  <si>
    <t>3</t>
  </si>
  <si>
    <t>12.1.1</t>
  </si>
  <si>
    <t>2.4.8.3</t>
  </si>
  <si>
    <t>PS; DCEG</t>
  </si>
  <si>
    <t>Remarks</t>
  </si>
  <si>
    <t>For each information complex attribute where  the sub-attribute fileReference  has a file name with extension which is not equal one of .TXT or .HTM.</t>
  </si>
  <si>
    <t>Edition 2.0.0 does not permit XML support files.</t>
  </si>
  <si>
    <t>131_ED1_101</t>
  </si>
  <si>
    <t>131_ED1_103</t>
  </si>
  <si>
    <t>131_ED1_104</t>
  </si>
  <si>
    <t>131_ED1_105</t>
  </si>
  <si>
    <t>131_ED1_107</t>
  </si>
  <si>
    <t>131_ED1_109</t>
  </si>
  <si>
    <t>131_ED1_110</t>
  </si>
  <si>
    <t>131_ED1_119</t>
  </si>
  <si>
    <t>131_ED1_120</t>
  </si>
  <si>
    <t>131_ED1_121</t>
  </si>
  <si>
    <t>131_ED1_122</t>
  </si>
  <si>
    <t>131_ED1_123</t>
  </si>
  <si>
    <t>131_ED1_124</t>
  </si>
  <si>
    <t>131_ED1_125</t>
  </si>
  <si>
    <t>131_ED1_126</t>
  </si>
  <si>
    <t>131_ED1_127</t>
  </si>
  <si>
    <t>131_ED1_130</t>
  </si>
  <si>
    <t>131_ED1_139</t>
  </si>
  <si>
    <t>131_ED1_140</t>
  </si>
  <si>
    <t>131_ED1_141</t>
  </si>
  <si>
    <t>131_ED1_142</t>
  </si>
  <si>
    <t>131_ED1_143</t>
  </si>
  <si>
    <t>131_ED1_145</t>
  </si>
  <si>
    <t>131_ED1_147</t>
  </si>
  <si>
    <t>131_ED1_148</t>
  </si>
  <si>
    <t>131_ED1_149</t>
  </si>
  <si>
    <t>131_ED1_151</t>
  </si>
  <si>
    <t>131_ED1_152</t>
  </si>
  <si>
    <t>131_ED1_153</t>
  </si>
  <si>
    <t>131_ED1_154</t>
  </si>
  <si>
    <t>131_ED1_155</t>
  </si>
  <si>
    <t>131_ED1_156</t>
  </si>
  <si>
    <t>131_ED1_157</t>
  </si>
  <si>
    <t>131_ED1_158</t>
  </si>
  <si>
    <t>131_ED1_160</t>
  </si>
  <si>
    <t>131_ED1_161</t>
  </si>
  <si>
    <t>131_ED1_162</t>
  </si>
  <si>
    <t>131_ED1_163</t>
  </si>
  <si>
    <t>131_ED1_164</t>
  </si>
  <si>
    <t>131_ED1_165</t>
  </si>
  <si>
    <t>131_ED1_167</t>
  </si>
  <si>
    <t>131_ED1_168</t>
  </si>
  <si>
    <t>131_ED1_169</t>
  </si>
  <si>
    <t>131_ED1_170</t>
  </si>
  <si>
    <t>131_ED1_171</t>
  </si>
  <si>
    <t>131_ED1_172</t>
  </si>
  <si>
    <t>131_ED1_185</t>
  </si>
  <si>
    <t>Object is a duplicate of another object</t>
  </si>
  <si>
    <t>[12.16]; [5.2.1]</t>
  </si>
  <si>
    <t>Metadata of S-131 Validation Check Specification</t>
  </si>
  <si>
    <t>If the srsName values encoded in the dataset are different from http://www.opengis.net/def/crs/EPSG/0/4326</t>
  </si>
  <si>
    <t>Clause ref. updated in 2.0.0; check reformulated</t>
  </si>
  <si>
    <t>Empty update</t>
  </si>
  <si>
    <t>For each update dataset, without a feature or information type, or spatial object</t>
  </si>
  <si>
    <t>Add updated feature or information type.</t>
  </si>
  <si>
    <t>U</t>
  </si>
  <si>
    <t>Only file-less cancellation is permitted</t>
  </si>
  <si>
    <t>Overlapping datasets within the same scale range</t>
  </si>
  <si>
    <t>Datasets in the same scale range have overlapping DataCoverage features</t>
  </si>
  <si>
    <t>Correct coverages or scale ranges</t>
  </si>
  <si>
    <t>[5.2.2]; [4.1]</t>
  </si>
  <si>
    <t>N/A</t>
  </si>
  <si>
    <t>Set the horizontal CRS to EPSG 4326 using the OGC URI convention.</t>
  </si>
  <si>
    <t>Dataset discovery metadata is missing for dataset</t>
  </si>
  <si>
    <t>For each instance of a dataset, present in the exchange set and that does not have dataset discovery metadata.</t>
  </si>
  <si>
    <t>Add dataset discovery metadata</t>
  </si>
  <si>
    <t>Support file discovery metadata is missing for support file.</t>
  </si>
  <si>
    <t>For each instance of a support file, present in the exchange set and that does not have support file discovery metadata.</t>
  </si>
  <si>
    <t>Support file discovery metadata</t>
  </si>
  <si>
    <t>No discovery metadata for catalogue.</t>
  </si>
  <si>
    <t>For each catalogue in the exchange set for which there is no discovery metadata  in the exchange catalogue</t>
  </si>
  <si>
    <t>Add discovery metadata to exchange catalogue or remove catalogue from exchange set.</t>
  </si>
  <si>
    <t>File is missing from exchange set.</t>
  </si>
  <si>
    <t>If there is no schemaLocation attribute on the root element of the dataset or the schemaLocation attribute does not indicate the GML schema for this edition of the Product Specification.</t>
  </si>
  <si>
    <t>Schema location missing or incorrect</t>
  </si>
  <si>
    <t>Amend dataset to use correct schemaLocation</t>
  </si>
  <si>
    <t>Reference to S-100 languages list added.</t>
  </si>
  <si>
    <t>For each DataCoverage feature where the value of  the attribute minimum display scale is different from other DataCoverage meta features.</t>
  </si>
  <si>
    <t>[7.3]; [4.3.4]</t>
  </si>
  <si>
    <t>[7.3]; [4.3.1]</t>
  </si>
  <si>
    <t>2.4.7</t>
  </si>
  <si>
    <t>[6.1, 6.2, 7.9.3]</t>
  </si>
  <si>
    <t>4.5.1, 4.6.1</t>
  </si>
  <si>
    <t>7.9.1</t>
  </si>
  <si>
    <t>[7.4]; [2.6.10]</t>
  </si>
  <si>
    <t>2.4.8.5</t>
  </si>
  <si>
    <t>11.5.2</t>
  </si>
  <si>
    <t>6.14.3</t>
  </si>
  <si>
    <t>14.2.2</t>
  </si>
  <si>
    <t>Review whether all of bollard number, metre mark number, manifold number, and ramp number are appropriate.</t>
  </si>
  <si>
    <t xml:space="preserve"> An update dataset changes the limit of a DataCoverage feature for the base dataset.</t>
  </si>
  <si>
    <t>Update cannot change limits of coverages</t>
  </si>
  <si>
    <t>Amend DataCoverage object or create new edition</t>
  </si>
  <si>
    <t>For each information attribute where fileReference references a text file and the fileLocator attribute is populated.</t>
  </si>
  <si>
    <t>File locators are not used with text files</t>
  </si>
  <si>
    <t>Amend fileReference or use HTML support file</t>
  </si>
  <si>
    <t>File locator does not reference a location in the file</t>
  </si>
  <si>
    <t>For each fileLocator with a value that does not indicate a location within the referenced file.</t>
  </si>
  <si>
    <t>For each complex attribute rxNCode with none of its sub-attributes populated</t>
  </si>
  <si>
    <t>Amend fileLocator value</t>
  </si>
  <si>
    <t>Delete or amend rxNCode</t>
  </si>
  <si>
    <t>For each complex attribute sourceIndication with none of its sub-attributes populated</t>
  </si>
  <si>
    <t>Delete or amend sourceIndication</t>
  </si>
  <si>
    <t>Complex attribute rxNCode must have at least one sub-attribute populated</t>
  </si>
  <si>
    <t>Complex attribute sourceIndication must have at least one sub-attribute populated</t>
  </si>
  <si>
    <t>6.9.6</t>
  </si>
  <si>
    <t>various</t>
  </si>
  <si>
    <t>For each attribute with the same values as another instance of the same attribute bound to the same feature, information type, or complex attribute</t>
  </si>
  <si>
    <t>Repeated attribute value</t>
  </si>
  <si>
    <t>Evaluate necessity for repetition and consider deletion of repeated instance</t>
  </si>
  <si>
    <t>[7.3]; [4.3.5]</t>
  </si>
  <si>
    <t>12.5.2</t>
  </si>
  <si>
    <t>11.7.2</t>
  </si>
  <si>
    <t>11.6.1</t>
  </si>
  <si>
    <t>2.4.10.3</t>
  </si>
  <si>
    <t>B,U</t>
  </si>
  <si>
    <t>Nilled attribute code populated with non-nil code value</t>
  </si>
  <si>
    <t>Amend value of code or remove nilling</t>
  </si>
  <si>
    <t>B.U</t>
  </si>
  <si>
    <t>For each nillable enumeration or codelist attribute where xsi:nil=true but attribute code is present and populated with a value &gt; 0</t>
  </si>
  <si>
    <t>For each nilled attribute without nilReason populated</t>
  </si>
  <si>
    <t>Populate nilReason for nilled attributes</t>
  </si>
  <si>
    <t>Nilled attribute without nilReason populated</t>
  </si>
  <si>
    <t>Ensure that no duplicate identifiers exist.</t>
  </si>
  <si>
    <t>For each cancellation (termination) of a dataset (discovery metadata record with purpose=cancellation) where the exchange set contains a corresponding dataset file</t>
  </si>
  <si>
    <t>Remove the dataset file from the exchange set or correct the discovery metadata</t>
  </si>
  <si>
    <r>
      <t xml:space="preserve">For each </t>
    </r>
    <r>
      <rPr>
        <i/>
        <sz val="10"/>
        <rFont val="Calibri"/>
        <family val="2"/>
        <scheme val="minor"/>
      </rPr>
      <t>language</t>
    </r>
    <r>
      <rPr>
        <sz val="10"/>
        <rFont val="Calibri"/>
        <family val="2"/>
        <scheme val="minor"/>
      </rPr>
      <t xml:space="preserve"> attribute which is populated with a value other than one of the 3-character ISO 639-2/T codes in the S-100 languages list on the schema server.</t>
    </r>
  </si>
  <si>
    <t>dateEnd precedes or coincides with dateStart.</t>
  </si>
  <si>
    <t>For each fixedDateRange where dateEnd and dateStart are not Null and dateEnd precedes or coincides with dateStart.</t>
  </si>
  <si>
    <t>For each object where another object has identical attribute values, associations and identical geometry (if applicable)</t>
  </si>
  <si>
    <r>
      <t xml:space="preserve">For each feature or information type where more than one featureName is present, and the </t>
    </r>
    <r>
      <rPr>
        <i/>
        <sz val="10"/>
        <rFont val="Calibri"/>
        <family val="2"/>
        <scheme val="minor"/>
      </rPr>
      <t>name</t>
    </r>
    <r>
      <rPr>
        <sz val="10"/>
        <rFont val="Calibri"/>
        <family val="2"/>
        <scheme val="minor"/>
      </rPr>
      <t xml:space="preserve"> and nameUsage sub-attributes of two or more featureName instances is equal.</t>
    </r>
  </si>
  <si>
    <t>For each file referenced by the catalogue file in the exchange set and not present in the exchange set and not cancelled by discovery metadata.</t>
  </si>
  <si>
    <t>Severity changed from E to W in S-158:131 1.0.0</t>
  </si>
  <si>
    <t>2.4.4</t>
  </si>
  <si>
    <t>2.4.5</t>
  </si>
  <si>
    <r>
      <t xml:space="preserve">For each feature, information type, or complex attribute where two or more </t>
    </r>
    <r>
      <rPr>
        <i/>
        <sz val="10"/>
        <rFont val="Calibri"/>
        <family val="2"/>
        <scheme val="minor"/>
      </rPr>
      <t>information</t>
    </r>
    <r>
      <rPr>
        <sz val="10"/>
        <rFont val="Calibri"/>
        <family val="2"/>
        <scheme val="minor"/>
      </rPr>
      <t xml:space="preserve"> attributes are present, AND the </t>
    </r>
    <r>
      <rPr>
        <i/>
        <sz val="10"/>
        <rFont val="Calibri"/>
        <family val="2"/>
        <scheme val="minor"/>
      </rPr>
      <t>text</t>
    </r>
    <r>
      <rPr>
        <sz val="10"/>
        <rFont val="Calibri"/>
        <family val="2"/>
        <scheme val="minor"/>
      </rPr>
      <t xml:space="preserve"> sub-attributes of information are equal.</t>
    </r>
  </si>
  <si>
    <r>
      <t xml:space="preserve">For each feature, information type or complex attribute where two or more </t>
    </r>
    <r>
      <rPr>
        <i/>
        <sz val="10"/>
        <rFont val="Calibri"/>
        <family val="2"/>
        <scheme val="minor"/>
      </rPr>
      <t>information</t>
    </r>
    <r>
      <rPr>
        <sz val="10"/>
        <rFont val="Calibri"/>
        <family val="2"/>
        <scheme val="minor"/>
      </rPr>
      <t xml:space="preserve"> complex attributes are present AND they have different language value AND identical pair of  notNull values of the sub-attributes fileLocator and fileReference.</t>
    </r>
  </si>
  <si>
    <r>
      <t xml:space="preserve">For each Applicability with </t>
    </r>
    <r>
      <rPr>
        <i/>
        <sz val="10"/>
        <rFont val="Calibri"/>
        <family val="2"/>
        <scheme val="minor"/>
      </rPr>
      <t>logicalConnectives</t>
    </r>
    <r>
      <rPr>
        <sz val="10"/>
        <rFont val="Calibri"/>
        <family val="2"/>
        <scheme val="minor"/>
      </rPr>
      <t xml:space="preserve"> missing AND [more than one of the other attributes populated OR more than one </t>
    </r>
    <r>
      <rPr>
        <i/>
        <sz val="10"/>
        <rFont val="Calibri"/>
        <family val="2"/>
        <scheme val="minor"/>
      </rPr>
      <t>vesselsMeasurements</t>
    </r>
    <r>
      <rPr>
        <sz val="10"/>
        <rFont val="Calibri"/>
        <family val="2"/>
        <scheme val="minor"/>
      </rPr>
      <t>].</t>
    </r>
  </si>
  <si>
    <r>
      <t xml:space="preserve">For each Applicability with mutually inconsistent values of vessel measurements in the attribute </t>
    </r>
    <r>
      <rPr>
        <i/>
        <sz val="10"/>
        <rFont val="Calibri"/>
        <family val="2"/>
        <scheme val="minor"/>
      </rPr>
      <t>vesselsMeasurements.</t>
    </r>
  </si>
  <si>
    <t xml:space="preserve">Duplicate identifiers exist within the dataset. </t>
  </si>
  <si>
    <t>For each feature, information, or spatial record  where the identifier is not unique WITHIN the dataset.</t>
  </si>
  <si>
    <t>Condition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</si>
</sst>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9">
    <font>
      <sz val="11"/>
      <color theme="1"/>
      <name val="Calibri"/>
      <charset val="134"/>
      <scheme val="minor"/>
    </font>
    <font>
      <sz val="10"/>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i/>
      <sz val="12"/>
      <color theme="9" tint="-0.249977111117893"/>
      <name val="Calibri"/>
      <family val="2"/>
      <scheme val="minor"/>
    </font>
    <font>
      <sz val="11"/>
      <color rgb="FF9C6500"/>
      <name val="Calibri"/>
      <family val="2"/>
      <scheme val="minor"/>
    </font>
    <font>
      <i/>
      <sz val="12"/>
      <color theme="9" tint="-0.249977111117893"/>
      <name val="Calibri"/>
      <family val="2"/>
      <scheme val="minor"/>
    </font>
    <font>
      <i/>
      <sz val="10"/>
      <name val="Calibri"/>
      <family val="2"/>
      <scheme val="minor"/>
    </font>
  </fonts>
  <fills count="10">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theme="0" tint="-0.14996795556505021"/>
        <bgColor indexed="64"/>
      </patternFill>
    </fill>
    <fill>
      <patternFill patternType="solid">
        <fgColor rgb="FFFFFFFF"/>
        <bgColor indexed="64"/>
      </patternFill>
    </fill>
  </fills>
  <borders count="13">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s>
  <cellStyleXfs count="2">
    <xf numFmtId="0" fontId="0" fillId="0" borderId="0"/>
    <xf numFmtId="0" fontId="6" fillId="7" borderId="0" applyNumberFormat="0" applyBorder="0" applyAlignment="0" applyProtection="0"/>
  </cellStyleXfs>
  <cellXfs count="61">
    <xf numFmtId="0" fontId="0" fillId="0" borderId="0" xfId="0"/>
    <xf numFmtId="0" fontId="1" fillId="0" borderId="0" xfId="0" applyFont="1"/>
    <xf numFmtId="0" fontId="1" fillId="0" borderId="0" xfId="0" applyFont="1" applyAlignment="1">
      <alignment wrapText="1"/>
    </xf>
    <xf numFmtId="0" fontId="2" fillId="0" borderId="0" xfId="0" applyFont="1"/>
    <xf numFmtId="0" fontId="0" fillId="0" borderId="0" xfId="0" applyAlignment="1">
      <alignment horizontal="right" vertical="center"/>
    </xf>
    <xf numFmtId="0" fontId="0" fillId="0" borderId="0" xfId="0" applyAlignment="1">
      <alignment horizontal="right"/>
    </xf>
    <xf numFmtId="0" fontId="4" fillId="4" borderId="4" xfId="0" applyFont="1" applyFill="1" applyBorder="1" applyAlignment="1">
      <alignment horizontal="right" vertical="center"/>
    </xf>
    <xf numFmtId="0" fontId="5" fillId="3" borderId="0" xfId="0" applyFont="1" applyFill="1" applyAlignment="1">
      <alignment horizontal="left" vertical="center"/>
    </xf>
    <xf numFmtId="0" fontId="2" fillId="3" borderId="0" xfId="0" applyFont="1" applyFill="1"/>
    <xf numFmtId="0" fontId="5" fillId="3" borderId="0" xfId="0" applyFont="1" applyFill="1" applyAlignment="1">
      <alignment horizontal="center" vertical="center"/>
    </xf>
    <xf numFmtId="165" fontId="5" fillId="3" borderId="0" xfId="0" applyNumberFormat="1" applyFont="1" applyFill="1" applyAlignment="1">
      <alignment horizontal="center" vertical="center"/>
    </xf>
    <xf numFmtId="164" fontId="5" fillId="3" borderId="0" xfId="0" applyNumberFormat="1" applyFont="1" applyFill="1" applyAlignment="1">
      <alignment horizontal="center" vertical="center"/>
    </xf>
    <xf numFmtId="14" fontId="5" fillId="3" borderId="0" xfId="0" applyNumberFormat="1" applyFont="1" applyFill="1" applyAlignment="1">
      <alignment horizontal="center" vertical="center"/>
    </xf>
    <xf numFmtId="0" fontId="4" fillId="5" borderId="4" xfId="0" applyFont="1" applyFill="1" applyBorder="1" applyAlignment="1">
      <alignment horizontal="right" vertical="center"/>
    </xf>
    <xf numFmtId="0" fontId="4" fillId="5" borderId="0" xfId="0" applyFont="1" applyFill="1" applyAlignment="1">
      <alignment horizontal="center" vertical="center"/>
    </xf>
    <xf numFmtId="0" fontId="4" fillId="5" borderId="0" xfId="0" applyFont="1" applyFill="1"/>
    <xf numFmtId="0" fontId="5" fillId="3" borderId="5" xfId="0" applyFont="1" applyFill="1" applyBorder="1"/>
    <xf numFmtId="0" fontId="5" fillId="3" borderId="6" xfId="0" applyFont="1" applyFill="1" applyBorder="1" applyAlignment="1">
      <alignment horizontal="left" vertical="center"/>
    </xf>
    <xf numFmtId="0" fontId="5" fillId="3" borderId="0" xfId="0" applyFont="1" applyFill="1" applyAlignment="1">
      <alignment horizontal="left"/>
    </xf>
    <xf numFmtId="0" fontId="2" fillId="3" borderId="6" xfId="0" applyFont="1" applyFill="1" applyBorder="1" applyAlignment="1">
      <alignment horizontal="left"/>
    </xf>
    <xf numFmtId="0" fontId="2" fillId="3" borderId="6" xfId="0" applyFont="1" applyFill="1" applyBorder="1"/>
    <xf numFmtId="0" fontId="2" fillId="3" borderId="0" xfId="0" applyFont="1" applyFill="1" applyAlignment="1">
      <alignment horizontal="left"/>
    </xf>
    <xf numFmtId="0" fontId="2" fillId="3" borderId="8" xfId="0" applyFont="1" applyFill="1" applyBorder="1" applyAlignment="1">
      <alignment horizontal="right" vertical="center"/>
    </xf>
    <xf numFmtId="0" fontId="2" fillId="3" borderId="9" xfId="0" applyFont="1" applyFill="1" applyBorder="1" applyAlignment="1">
      <alignment horizontal="right"/>
    </xf>
    <xf numFmtId="0" fontId="2" fillId="3" borderId="9" xfId="0" applyFont="1" applyFill="1" applyBorder="1"/>
    <xf numFmtId="0" fontId="2" fillId="0" borderId="0" xfId="0" applyFont="1" applyAlignment="1">
      <alignment horizontal="right" vertical="center"/>
    </xf>
    <xf numFmtId="0" fontId="2" fillId="0" borderId="0" xfId="0" applyFont="1" applyAlignment="1">
      <alignment horizontal="right"/>
    </xf>
    <xf numFmtId="0" fontId="3" fillId="0" borderId="0" xfId="0" applyFont="1"/>
    <xf numFmtId="0" fontId="2" fillId="3" borderId="11" xfId="0" applyFont="1" applyFill="1" applyBorder="1"/>
    <xf numFmtId="0" fontId="4" fillId="6" borderId="0" xfId="0" applyFont="1" applyFill="1"/>
    <xf numFmtId="0" fontId="5" fillId="3" borderId="0" xfId="0" applyFont="1" applyFill="1"/>
    <xf numFmtId="0" fontId="5" fillId="3" borderId="6" xfId="0" applyFont="1" applyFill="1" applyBorder="1"/>
    <xf numFmtId="0" fontId="5" fillId="3" borderId="7" xfId="0" applyFont="1" applyFill="1" applyBorder="1"/>
    <xf numFmtId="0" fontId="2" fillId="3" borderId="12" xfId="0" applyFont="1" applyFill="1" applyBorder="1"/>
    <xf numFmtId="49" fontId="7" fillId="3" borderId="0" xfId="0" applyNumberFormat="1" applyFont="1" applyFill="1" applyAlignment="1">
      <alignment horizontal="center"/>
    </xf>
    <xf numFmtId="0" fontId="7" fillId="3" borderId="5" xfId="0" applyFont="1" applyFill="1" applyBorder="1"/>
    <xf numFmtId="0" fontId="7" fillId="3" borderId="0" xfId="0" applyFont="1" applyFill="1" applyAlignment="1">
      <alignment horizontal="left" vertical="center"/>
    </xf>
    <xf numFmtId="0" fontId="7" fillId="3" borderId="7" xfId="0" applyFont="1" applyFill="1" applyBorder="1" applyAlignment="1">
      <alignment horizontal="left"/>
    </xf>
    <xf numFmtId="0" fontId="7" fillId="3" borderId="0" xfId="0" applyFont="1" applyFill="1"/>
    <xf numFmtId="0" fontId="1" fillId="0" borderId="1" xfId="0" applyFont="1" applyBorder="1" applyAlignment="1">
      <alignment wrapText="1"/>
    </xf>
    <xf numFmtId="0" fontId="1" fillId="0" borderId="1" xfId="0" applyFont="1" applyBorder="1"/>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9" borderId="1" xfId="0" applyFont="1" applyFill="1" applyBorder="1" applyAlignment="1">
      <alignment horizontal="justify" vertical="center" wrapText="1"/>
    </xf>
    <xf numFmtId="0" fontId="1" fillId="0" borderId="1" xfId="0" applyFont="1" applyBorder="1" applyAlignment="1">
      <alignment horizontal="justify" vertical="center" wrapText="1"/>
    </xf>
    <xf numFmtId="0" fontId="1" fillId="9" borderId="1" xfId="0" applyFont="1" applyFill="1" applyBorder="1" applyAlignment="1">
      <alignment horizontal="left"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10" xfId="0" applyFont="1" applyFill="1" applyBorder="1" applyAlignment="1">
      <alignment horizontal="center" vertical="center"/>
    </xf>
    <xf numFmtId="0" fontId="4" fillId="5" borderId="4" xfId="0" applyFont="1" applyFill="1" applyBorder="1" applyAlignment="1">
      <alignment horizontal="right" vertical="center"/>
    </xf>
    <xf numFmtId="0" fontId="1" fillId="8" borderId="1" xfId="0" applyFont="1" applyFill="1" applyBorder="1" applyAlignment="1">
      <alignment vertical="center" wrapText="1"/>
    </xf>
    <xf numFmtId="0" fontId="1" fillId="8"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8" borderId="1" xfId="0" applyFont="1" applyFill="1" applyBorder="1" applyAlignment="1">
      <alignment wrapText="1"/>
    </xf>
    <xf numFmtId="0" fontId="1" fillId="0" borderId="1" xfId="1" applyFont="1" applyFill="1" applyBorder="1" applyAlignment="1">
      <alignment horizontal="left" vertical="center" wrapText="1"/>
    </xf>
  </cellXfs>
  <cellStyles count="2">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workbookViewId="0">
      <selection activeCell="C7" sqref="C7"/>
    </sheetView>
  </sheetViews>
  <sheetFormatPr defaultColWidth="9" defaultRowHeight="15"/>
  <cols>
    <col min="1" max="1" width="4.85546875" customWidth="1"/>
    <col min="2" max="2" width="20.85546875" style="4" customWidth="1"/>
    <col min="3" max="3" width="36.42578125" style="5" customWidth="1"/>
    <col min="4" max="4" width="12.42578125" customWidth="1"/>
    <col min="5" max="6" width="14.7109375" customWidth="1"/>
    <col min="7" max="7" width="6.42578125" customWidth="1"/>
  </cols>
  <sheetData>
    <row r="2" spans="2:8" ht="33.6" customHeight="1">
      <c r="B2" s="52" t="s">
        <v>233</v>
      </c>
      <c r="C2" s="53"/>
      <c r="D2" s="53"/>
      <c r="E2" s="53"/>
      <c r="F2" s="53"/>
      <c r="G2" s="54"/>
      <c r="H2" s="27"/>
    </row>
    <row r="3" spans="2:8" s="3" customFormat="1" ht="20.45" customHeight="1">
      <c r="B3" s="6" t="s">
        <v>0</v>
      </c>
      <c r="C3" s="7" t="s">
        <v>32</v>
      </c>
      <c r="D3" s="8"/>
      <c r="E3" s="8"/>
      <c r="F3" s="8"/>
      <c r="G3" s="28"/>
    </row>
    <row r="4" spans="2:8" s="3" customFormat="1" ht="20.45" customHeight="1">
      <c r="B4" s="6" t="s">
        <v>1</v>
      </c>
      <c r="C4" s="36" t="s">
        <v>33</v>
      </c>
      <c r="D4" s="8"/>
      <c r="E4" s="8"/>
      <c r="F4" s="8"/>
      <c r="G4" s="28"/>
    </row>
    <row r="5" spans="2:8" s="3" customFormat="1" ht="20.45" customHeight="1">
      <c r="B5" s="6" t="s">
        <v>2</v>
      </c>
      <c r="C5" s="7" t="s">
        <v>3</v>
      </c>
      <c r="D5" s="8"/>
      <c r="E5" s="8"/>
      <c r="F5" s="8"/>
      <c r="G5" s="28"/>
    </row>
    <row r="6" spans="2:8" s="3" customFormat="1" ht="20.45" customHeight="1">
      <c r="B6" s="6" t="s">
        <v>4</v>
      </c>
      <c r="C6" s="9" t="s">
        <v>27</v>
      </c>
      <c r="D6" s="8"/>
      <c r="E6" s="8"/>
      <c r="F6" s="8"/>
      <c r="G6" s="28"/>
    </row>
    <row r="7" spans="2:8" s="3" customFormat="1" ht="20.45" customHeight="1">
      <c r="B7" s="6" t="s">
        <v>5</v>
      </c>
      <c r="C7" s="34" t="s">
        <v>31</v>
      </c>
      <c r="D7" s="8"/>
      <c r="E7" s="8"/>
      <c r="F7" s="8"/>
      <c r="G7" s="28"/>
    </row>
    <row r="8" spans="2:8" s="3" customFormat="1" ht="20.45" customHeight="1">
      <c r="B8" s="6" t="s">
        <v>6</v>
      </c>
      <c r="C8" s="10">
        <v>46101</v>
      </c>
      <c r="D8" s="8"/>
      <c r="E8" s="8"/>
      <c r="F8" s="8"/>
      <c r="G8" s="28"/>
    </row>
    <row r="9" spans="2:8" s="3" customFormat="1" ht="20.45" customHeight="1">
      <c r="B9" s="6" t="s">
        <v>7</v>
      </c>
      <c r="C9" s="11">
        <v>46023</v>
      </c>
      <c r="D9" s="8"/>
      <c r="E9" s="8"/>
      <c r="F9" s="8"/>
      <c r="G9" s="28"/>
    </row>
    <row r="10" spans="2:8" s="3" customFormat="1" ht="20.45" customHeight="1">
      <c r="B10" s="6" t="s">
        <v>8</v>
      </c>
      <c r="C10" s="12" t="s">
        <v>9</v>
      </c>
      <c r="D10" s="8"/>
      <c r="E10" s="8"/>
      <c r="F10" s="8"/>
      <c r="G10" s="28"/>
    </row>
    <row r="11" spans="2:8" s="3" customFormat="1" ht="20.45" customHeight="1">
      <c r="B11" s="6" t="s">
        <v>10</v>
      </c>
      <c r="C11" s="9" t="s">
        <v>34</v>
      </c>
      <c r="D11" s="8"/>
      <c r="E11" s="8"/>
      <c r="F11" s="8"/>
      <c r="G11" s="28"/>
    </row>
    <row r="12" spans="2:8" s="3" customFormat="1" ht="15" customHeight="1">
      <c r="B12" s="13"/>
      <c r="C12" s="14" t="s">
        <v>1</v>
      </c>
      <c r="D12" s="15" t="s">
        <v>11</v>
      </c>
      <c r="E12" s="29" t="s">
        <v>12</v>
      </c>
      <c r="F12" s="29"/>
      <c r="G12" s="28"/>
    </row>
    <row r="13" spans="2:8" s="3" customFormat="1" ht="20.45" customHeight="1">
      <c r="B13" s="55" t="s">
        <v>13</v>
      </c>
      <c r="C13" s="7" t="s">
        <v>35</v>
      </c>
      <c r="D13" s="35" t="s">
        <v>28</v>
      </c>
      <c r="E13" s="16"/>
      <c r="F13" s="30"/>
      <c r="G13" s="28"/>
    </row>
    <row r="14" spans="2:8" s="3" customFormat="1" ht="20.45" customHeight="1">
      <c r="B14" s="55"/>
      <c r="C14" s="17" t="s">
        <v>36</v>
      </c>
      <c r="D14" s="35" t="s">
        <v>28</v>
      </c>
      <c r="E14" s="31"/>
      <c r="F14" s="32"/>
      <c r="G14" s="28"/>
    </row>
    <row r="15" spans="2:8" s="3" customFormat="1" ht="20.45" customHeight="1">
      <c r="B15" s="55"/>
      <c r="C15" s="18" t="s">
        <v>37</v>
      </c>
      <c r="D15" s="35" t="s">
        <v>28</v>
      </c>
      <c r="E15" s="30"/>
      <c r="F15" s="31"/>
      <c r="G15" s="28"/>
    </row>
    <row r="16" spans="2:8" s="3" customFormat="1" ht="20.45" customHeight="1">
      <c r="B16" s="55"/>
      <c r="C16" s="37" t="s">
        <v>29</v>
      </c>
      <c r="D16" s="38" t="s">
        <v>30</v>
      </c>
      <c r="E16" s="20"/>
      <c r="F16" s="20"/>
      <c r="G16" s="28"/>
    </row>
    <row r="17" spans="2:7" s="3" customFormat="1" ht="20.45" customHeight="1">
      <c r="B17" s="55"/>
      <c r="C17" s="19"/>
      <c r="D17" s="20"/>
      <c r="E17" s="20"/>
      <c r="F17" s="20"/>
      <c r="G17" s="28"/>
    </row>
    <row r="18" spans="2:7" s="3" customFormat="1" ht="20.45" customHeight="1">
      <c r="B18" s="55"/>
      <c r="C18" s="21"/>
      <c r="D18" s="8"/>
      <c r="E18" s="8"/>
      <c r="F18" s="8"/>
      <c r="G18" s="28"/>
    </row>
    <row r="19" spans="2:7" s="3" customFormat="1" ht="20.45" customHeight="1">
      <c r="B19" s="22"/>
      <c r="C19" s="23"/>
      <c r="D19" s="24"/>
      <c r="E19" s="24"/>
      <c r="F19" s="24"/>
      <c r="G19" s="33"/>
    </row>
    <row r="20" spans="2:7" s="3" customFormat="1" ht="20.45" customHeight="1">
      <c r="B20" s="25"/>
      <c r="C20" s="26"/>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3"/>
  <sheetViews>
    <sheetView zoomScale="110" zoomScaleNormal="110" workbookViewId="0">
      <pane ySplit="1" topLeftCell="A26" activePane="bottomLeft" state="frozen"/>
      <selection activeCell="B1" sqref="B1"/>
      <selection pane="bottomLeft" activeCell="D52" sqref="D52"/>
    </sheetView>
  </sheetViews>
  <sheetFormatPr defaultColWidth="10.85546875" defaultRowHeight="13.5" thickBottom="1"/>
  <cols>
    <col min="1" max="1" width="10.85546875" style="44"/>
    <col min="2" max="2" width="10.85546875" style="43"/>
    <col min="3" max="3" width="11.5703125" style="44" customWidth="1"/>
    <col min="4" max="4" width="42" style="39" customWidth="1"/>
    <col min="5" max="5" width="67.42578125" style="39" customWidth="1"/>
    <col min="6" max="6" width="35.7109375" style="39" customWidth="1"/>
    <col min="7" max="7" width="18.42578125" style="48" customWidth="1"/>
    <col min="8" max="8" width="13" style="44" customWidth="1"/>
    <col min="9" max="11" width="10.85546875" style="40"/>
    <col min="12" max="12" width="10.85546875" style="39"/>
    <col min="13" max="13" width="21" style="39" customWidth="1"/>
    <col min="14" max="14" width="10.85546875" style="2"/>
    <col min="15" max="16384" width="10.85546875" style="1"/>
  </cols>
  <sheetData>
    <row r="1" spans="1:13" ht="26.25" thickBot="1">
      <c r="A1" s="41" t="s">
        <v>14</v>
      </c>
      <c r="B1" s="41" t="s">
        <v>15</v>
      </c>
      <c r="C1" s="41" t="s">
        <v>16</v>
      </c>
      <c r="D1" s="41" t="s">
        <v>17</v>
      </c>
      <c r="E1" s="41" t="s">
        <v>18</v>
      </c>
      <c r="F1" s="41" t="s">
        <v>19</v>
      </c>
      <c r="G1" s="56" t="s">
        <v>20</v>
      </c>
      <c r="H1" s="57" t="s">
        <v>21</v>
      </c>
      <c r="I1" s="58" t="s">
        <v>22</v>
      </c>
      <c r="J1" s="58" t="s">
        <v>23</v>
      </c>
      <c r="K1" s="58" t="s">
        <v>24</v>
      </c>
      <c r="L1" s="56" t="s">
        <v>172</v>
      </c>
      <c r="M1" s="59" t="s">
        <v>181</v>
      </c>
    </row>
    <row r="2" spans="1:13" ht="26.25" thickBot="1">
      <c r="A2" s="42" t="s">
        <v>184</v>
      </c>
      <c r="B2" s="42" t="str">
        <f>_xlfn.CONCAT("131_", TEXT(ROW()-1, "0000"))</f>
        <v>131_0001</v>
      </c>
      <c r="C2" s="42" t="s">
        <v>165</v>
      </c>
      <c r="D2" s="49" t="s">
        <v>72</v>
      </c>
      <c r="E2" s="49" t="s">
        <v>38</v>
      </c>
      <c r="F2" s="45" t="s">
        <v>119</v>
      </c>
      <c r="G2" s="49" t="s">
        <v>25</v>
      </c>
      <c r="H2" s="42">
        <v>7.3</v>
      </c>
      <c r="I2" s="39" t="s">
        <v>31</v>
      </c>
      <c r="L2" s="49" t="s">
        <v>168</v>
      </c>
    </row>
    <row r="3" spans="1:13" ht="39" thickBot="1">
      <c r="A3" s="42" t="s">
        <v>185</v>
      </c>
      <c r="B3" s="42" t="str">
        <f t="shared" ref="B3:B41" si="0">_xlfn.CONCAT("131_", TEXT(ROW()-1, "0000"))</f>
        <v>131_0002</v>
      </c>
      <c r="C3" s="43" t="s">
        <v>165</v>
      </c>
      <c r="D3" s="49" t="s">
        <v>73</v>
      </c>
      <c r="E3" s="49" t="s">
        <v>39</v>
      </c>
      <c r="F3" s="45" t="s">
        <v>120</v>
      </c>
      <c r="G3" s="49" t="s">
        <v>180</v>
      </c>
      <c r="H3" s="42" t="s">
        <v>294</v>
      </c>
      <c r="I3" s="39" t="s">
        <v>31</v>
      </c>
      <c r="L3" s="49" t="s">
        <v>169</v>
      </c>
    </row>
    <row r="4" spans="1:13" ht="26.25" thickBot="1">
      <c r="A4" s="42" t="s">
        <v>186</v>
      </c>
      <c r="B4" s="42" t="str">
        <f t="shared" si="0"/>
        <v>131_0003</v>
      </c>
      <c r="C4" s="43" t="s">
        <v>165</v>
      </c>
      <c r="D4" s="49" t="s">
        <v>74</v>
      </c>
      <c r="E4" s="49" t="s">
        <v>40</v>
      </c>
      <c r="F4" s="45" t="s">
        <v>121</v>
      </c>
      <c r="G4" s="49" t="s">
        <v>180</v>
      </c>
      <c r="H4" s="42" t="s">
        <v>263</v>
      </c>
      <c r="I4" s="39" t="s">
        <v>31</v>
      </c>
      <c r="L4" s="49" t="s">
        <v>169</v>
      </c>
    </row>
    <row r="5" spans="1:13" ht="26.25" thickBot="1">
      <c r="A5" s="42" t="s">
        <v>187</v>
      </c>
      <c r="B5" s="42" t="str">
        <f t="shared" si="0"/>
        <v>131_0004</v>
      </c>
      <c r="C5" s="43" t="s">
        <v>165</v>
      </c>
      <c r="D5" s="49" t="s">
        <v>75</v>
      </c>
      <c r="E5" s="49" t="s">
        <v>261</v>
      </c>
      <c r="F5" s="45" t="s">
        <v>122</v>
      </c>
      <c r="G5" s="49" t="s">
        <v>164</v>
      </c>
      <c r="H5" s="42" t="s">
        <v>262</v>
      </c>
      <c r="I5" s="39" t="s">
        <v>31</v>
      </c>
      <c r="L5" s="49" t="s">
        <v>169</v>
      </c>
    </row>
    <row r="6" spans="1:13" ht="26.25" thickBot="1">
      <c r="A6" s="42" t="s">
        <v>188</v>
      </c>
      <c r="B6" s="42" t="str">
        <f t="shared" si="0"/>
        <v>131_0005</v>
      </c>
      <c r="C6" s="43" t="s">
        <v>166</v>
      </c>
      <c r="D6" s="49" t="s">
        <v>76</v>
      </c>
      <c r="E6" s="49" t="s">
        <v>41</v>
      </c>
      <c r="F6" s="60" t="s">
        <v>123</v>
      </c>
      <c r="G6" s="49" t="s">
        <v>164</v>
      </c>
      <c r="H6" s="42" t="s">
        <v>173</v>
      </c>
      <c r="I6" s="39" t="s">
        <v>31</v>
      </c>
      <c r="J6" s="39"/>
      <c r="K6" s="39"/>
      <c r="L6" s="49" t="s">
        <v>168</v>
      </c>
    </row>
    <row r="7" spans="1:13" ht="26.25" thickBot="1">
      <c r="A7" s="42" t="s">
        <v>189</v>
      </c>
      <c r="B7" s="42" t="str">
        <f t="shared" si="0"/>
        <v>131_0006</v>
      </c>
      <c r="C7" s="43" t="s">
        <v>167</v>
      </c>
      <c r="D7" s="49" t="s">
        <v>77</v>
      </c>
      <c r="E7" s="49" t="s">
        <v>42</v>
      </c>
      <c r="F7" s="45" t="s">
        <v>124</v>
      </c>
      <c r="G7" s="49" t="s">
        <v>25</v>
      </c>
      <c r="H7" s="42" t="s">
        <v>174</v>
      </c>
      <c r="I7" s="39" t="s">
        <v>31</v>
      </c>
      <c r="J7" s="39"/>
      <c r="K7" s="39"/>
      <c r="L7" s="49" t="s">
        <v>170</v>
      </c>
    </row>
    <row r="8" spans="1:13" ht="26.25" thickBot="1">
      <c r="A8" s="42" t="s">
        <v>190</v>
      </c>
      <c r="B8" s="42" t="str">
        <f t="shared" si="0"/>
        <v>131_0007</v>
      </c>
      <c r="C8" s="43" t="s">
        <v>167</v>
      </c>
      <c r="D8" s="49" t="s">
        <v>78</v>
      </c>
      <c r="E8" s="49" t="s">
        <v>43</v>
      </c>
      <c r="F8" s="45" t="s">
        <v>125</v>
      </c>
      <c r="G8" s="49" t="s">
        <v>180</v>
      </c>
      <c r="H8" s="42" t="s">
        <v>244</v>
      </c>
      <c r="I8" s="39" t="s">
        <v>31</v>
      </c>
      <c r="J8" s="39"/>
      <c r="K8" s="39"/>
      <c r="L8" s="49" t="s">
        <v>168</v>
      </c>
    </row>
    <row r="9" spans="1:13" ht="26.25" thickBot="1">
      <c r="A9" s="42" t="s">
        <v>191</v>
      </c>
      <c r="B9" s="42" t="str">
        <f t="shared" si="0"/>
        <v>131_0008</v>
      </c>
      <c r="C9" s="42" t="s">
        <v>165</v>
      </c>
      <c r="D9" s="49" t="s">
        <v>79</v>
      </c>
      <c r="E9" s="49" t="s">
        <v>44</v>
      </c>
      <c r="F9" s="45" t="s">
        <v>126</v>
      </c>
      <c r="G9" s="49" t="s">
        <v>25</v>
      </c>
      <c r="H9" s="42" t="s">
        <v>175</v>
      </c>
      <c r="I9" s="39" t="s">
        <v>31</v>
      </c>
      <c r="L9" s="49" t="s">
        <v>170</v>
      </c>
    </row>
    <row r="10" spans="1:13" ht="39" thickBot="1">
      <c r="A10" s="42" t="s">
        <v>192</v>
      </c>
      <c r="B10" s="42" t="str">
        <f t="shared" si="0"/>
        <v>131_0009</v>
      </c>
      <c r="C10" s="42" t="s">
        <v>165</v>
      </c>
      <c r="D10" s="49" t="s">
        <v>80</v>
      </c>
      <c r="E10" s="49" t="s">
        <v>314</v>
      </c>
      <c r="F10" s="45" t="s">
        <v>127</v>
      </c>
      <c r="G10" s="49" t="s">
        <v>164</v>
      </c>
      <c r="H10" s="42" t="s">
        <v>264</v>
      </c>
      <c r="I10" s="39" t="s">
        <v>31</v>
      </c>
      <c r="J10" s="40" t="s">
        <v>26</v>
      </c>
      <c r="L10" s="49" t="s">
        <v>170</v>
      </c>
      <c r="M10" s="39" t="s">
        <v>325</v>
      </c>
    </row>
    <row r="11" spans="1:13" ht="39" thickBot="1">
      <c r="A11" s="42" t="s">
        <v>193</v>
      </c>
      <c r="B11" s="42" t="str">
        <f t="shared" si="0"/>
        <v>131_0010</v>
      </c>
      <c r="C11" s="42" t="s">
        <v>167</v>
      </c>
      <c r="D11" s="49" t="s">
        <v>81</v>
      </c>
      <c r="E11" s="49" t="s">
        <v>319</v>
      </c>
      <c r="F11" s="45" t="s">
        <v>128</v>
      </c>
      <c r="G11" s="49" t="s">
        <v>245</v>
      </c>
      <c r="H11" s="42"/>
      <c r="I11" s="39" t="s">
        <v>31</v>
      </c>
      <c r="L11" s="49" t="s">
        <v>170</v>
      </c>
    </row>
    <row r="12" spans="1:13" ht="51.75" thickBot="1">
      <c r="A12" s="42" t="s">
        <v>194</v>
      </c>
      <c r="B12" s="42" t="str">
        <f t="shared" si="0"/>
        <v>131_0011</v>
      </c>
      <c r="C12" s="43" t="s">
        <v>167</v>
      </c>
      <c r="D12" s="49" t="s">
        <v>82</v>
      </c>
      <c r="E12" s="49" t="s">
        <v>320</v>
      </c>
      <c r="F12" s="45" t="s">
        <v>129</v>
      </c>
      <c r="G12" s="49" t="s">
        <v>245</v>
      </c>
      <c r="H12" s="42"/>
      <c r="I12" s="39" t="s">
        <v>31</v>
      </c>
      <c r="L12" s="49" t="s">
        <v>170</v>
      </c>
    </row>
    <row r="13" spans="1:13" ht="26.25" thickBot="1">
      <c r="A13" s="42" t="s">
        <v>195</v>
      </c>
      <c r="B13" s="42" t="str">
        <f t="shared" si="0"/>
        <v>131_0012</v>
      </c>
      <c r="C13" s="43" t="s">
        <v>167</v>
      </c>
      <c r="D13" s="49" t="s">
        <v>83</v>
      </c>
      <c r="E13" s="49" t="s">
        <v>182</v>
      </c>
      <c r="F13" s="45" t="s">
        <v>130</v>
      </c>
      <c r="G13" s="49" t="s">
        <v>164</v>
      </c>
      <c r="H13" s="42" t="s">
        <v>176</v>
      </c>
      <c r="I13" s="39" t="s">
        <v>31</v>
      </c>
      <c r="J13" s="40" t="s">
        <v>26</v>
      </c>
      <c r="L13" s="49" t="s">
        <v>170</v>
      </c>
      <c r="M13" s="39" t="s">
        <v>183</v>
      </c>
    </row>
    <row r="14" spans="1:13" ht="39" thickBot="1">
      <c r="A14" s="42" t="s">
        <v>196</v>
      </c>
      <c r="B14" s="42" t="str">
        <f t="shared" si="0"/>
        <v>131_0013</v>
      </c>
      <c r="C14" s="43" t="s">
        <v>167</v>
      </c>
      <c r="D14" s="45" t="s">
        <v>118</v>
      </c>
      <c r="E14" s="49" t="s">
        <v>45</v>
      </c>
      <c r="F14" s="45" t="s">
        <v>131</v>
      </c>
      <c r="G14" s="50" t="s">
        <v>245</v>
      </c>
      <c r="H14" s="42"/>
      <c r="I14" s="39" t="s">
        <v>31</v>
      </c>
      <c r="L14" s="49" t="s">
        <v>170</v>
      </c>
    </row>
    <row r="15" spans="1:13" ht="26.25" thickBot="1">
      <c r="A15" s="42" t="s">
        <v>197</v>
      </c>
      <c r="B15" s="42" t="str">
        <f t="shared" si="0"/>
        <v>131_0014</v>
      </c>
      <c r="C15" s="43" t="s">
        <v>167</v>
      </c>
      <c r="D15" s="49" t="s">
        <v>84</v>
      </c>
      <c r="E15" s="49" t="s">
        <v>46</v>
      </c>
      <c r="F15" s="45" t="s">
        <v>132</v>
      </c>
      <c r="G15" s="49" t="s">
        <v>25</v>
      </c>
      <c r="H15" s="42" t="s">
        <v>177</v>
      </c>
      <c r="I15" s="39" t="s">
        <v>31</v>
      </c>
      <c r="L15" s="49" t="s">
        <v>170</v>
      </c>
    </row>
    <row r="16" spans="1:13" ht="26.25" thickBot="1">
      <c r="A16" s="42" t="s">
        <v>198</v>
      </c>
      <c r="B16" s="42" t="str">
        <f t="shared" si="0"/>
        <v>131_0015</v>
      </c>
      <c r="C16" s="43" t="s">
        <v>167</v>
      </c>
      <c r="D16" s="49" t="s">
        <v>85</v>
      </c>
      <c r="E16" s="49" t="s">
        <v>47</v>
      </c>
      <c r="F16" s="45" t="s">
        <v>133</v>
      </c>
      <c r="G16" s="49" t="s">
        <v>25</v>
      </c>
      <c r="H16" s="42" t="s">
        <v>177</v>
      </c>
      <c r="I16" s="39" t="s">
        <v>31</v>
      </c>
      <c r="L16" s="49" t="s">
        <v>170</v>
      </c>
    </row>
    <row r="17" spans="1:13" ht="39" thickBot="1">
      <c r="A17" s="42" t="s">
        <v>199</v>
      </c>
      <c r="B17" s="42" t="str">
        <f t="shared" si="0"/>
        <v>131_0016</v>
      </c>
      <c r="C17" s="42" t="s">
        <v>166</v>
      </c>
      <c r="D17" s="49" t="s">
        <v>86</v>
      </c>
      <c r="E17" s="49" t="s">
        <v>234</v>
      </c>
      <c r="F17" s="45" t="s">
        <v>246</v>
      </c>
      <c r="G17" s="49" t="s">
        <v>25</v>
      </c>
      <c r="H17" s="42" t="s">
        <v>265</v>
      </c>
      <c r="I17" s="39" t="s">
        <v>31</v>
      </c>
      <c r="J17" s="40" t="s">
        <v>26</v>
      </c>
      <c r="L17" s="49" t="s">
        <v>170</v>
      </c>
      <c r="M17" s="39" t="s">
        <v>235</v>
      </c>
    </row>
    <row r="18" spans="1:13" ht="26.25" thickBot="1">
      <c r="A18" s="42" t="s">
        <v>200</v>
      </c>
      <c r="B18" s="42" t="str">
        <f t="shared" si="0"/>
        <v>131_0017</v>
      </c>
      <c r="C18" s="43" t="s">
        <v>165</v>
      </c>
      <c r="D18" s="51" t="s">
        <v>231</v>
      </c>
      <c r="E18" s="49" t="s">
        <v>313</v>
      </c>
      <c r="F18" s="45" t="s">
        <v>134</v>
      </c>
      <c r="G18" s="49" t="s">
        <v>245</v>
      </c>
      <c r="H18" s="42"/>
      <c r="I18" s="39" t="s">
        <v>31</v>
      </c>
      <c r="J18" s="40" t="s">
        <v>26</v>
      </c>
      <c r="L18" s="49" t="s">
        <v>171</v>
      </c>
    </row>
    <row r="19" spans="1:13" ht="26.25" thickBot="1">
      <c r="A19" s="42" t="s">
        <v>201</v>
      </c>
      <c r="B19" s="42" t="str">
        <f t="shared" si="0"/>
        <v>131_0018</v>
      </c>
      <c r="C19" s="44" t="s">
        <v>165</v>
      </c>
      <c r="D19" s="49" t="s">
        <v>87</v>
      </c>
      <c r="E19" s="49" t="s">
        <v>48</v>
      </c>
      <c r="F19" s="46" t="s">
        <v>135</v>
      </c>
      <c r="G19" s="49" t="s">
        <v>25</v>
      </c>
      <c r="H19" s="42">
        <v>12.9</v>
      </c>
      <c r="I19" s="40" t="s">
        <v>31</v>
      </c>
      <c r="L19" s="49" t="s">
        <v>168</v>
      </c>
    </row>
    <row r="20" spans="1:13" ht="26.25" thickBot="1">
      <c r="A20" s="42" t="s">
        <v>202</v>
      </c>
      <c r="B20" s="42" t="str">
        <f t="shared" si="0"/>
        <v>131_0019</v>
      </c>
      <c r="C20" s="44" t="s">
        <v>165</v>
      </c>
      <c r="D20" s="49" t="s">
        <v>88</v>
      </c>
      <c r="E20" s="49" t="s">
        <v>49</v>
      </c>
      <c r="F20" s="46" t="s">
        <v>136</v>
      </c>
      <c r="G20" s="49" t="s">
        <v>25</v>
      </c>
      <c r="H20" s="42">
        <v>12.12</v>
      </c>
      <c r="I20" s="40" t="s">
        <v>31</v>
      </c>
      <c r="L20" s="49" t="s">
        <v>168</v>
      </c>
    </row>
    <row r="21" spans="1:13" ht="39" thickBot="1">
      <c r="A21" s="42" t="s">
        <v>203</v>
      </c>
      <c r="B21" s="42" t="str">
        <f t="shared" si="0"/>
        <v>131_0020</v>
      </c>
      <c r="C21" s="44" t="s">
        <v>165</v>
      </c>
      <c r="D21" s="49" t="s">
        <v>89</v>
      </c>
      <c r="E21" s="49" t="s">
        <v>50</v>
      </c>
      <c r="F21" s="46" t="s">
        <v>137</v>
      </c>
      <c r="G21" s="49" t="s">
        <v>25</v>
      </c>
      <c r="H21" s="42">
        <v>12.12</v>
      </c>
      <c r="I21" s="40" t="s">
        <v>31</v>
      </c>
      <c r="L21" s="49" t="s">
        <v>168</v>
      </c>
    </row>
    <row r="22" spans="1:13" ht="39" thickBot="1">
      <c r="A22" s="42" t="s">
        <v>204</v>
      </c>
      <c r="B22" s="42" t="str">
        <f t="shared" si="0"/>
        <v>131_0021</v>
      </c>
      <c r="C22" s="44" t="s">
        <v>167</v>
      </c>
      <c r="D22" s="49" t="s">
        <v>90</v>
      </c>
      <c r="E22" s="49" t="s">
        <v>51</v>
      </c>
      <c r="F22" s="46" t="s">
        <v>138</v>
      </c>
      <c r="G22" s="49" t="s">
        <v>164</v>
      </c>
      <c r="H22" s="42" t="s">
        <v>266</v>
      </c>
      <c r="I22" s="40" t="s">
        <v>31</v>
      </c>
      <c r="L22" s="49" t="s">
        <v>168</v>
      </c>
      <c r="M22" s="39" t="s">
        <v>316</v>
      </c>
    </row>
    <row r="23" spans="1:13" ht="26.25" thickBot="1">
      <c r="A23" s="42" t="s">
        <v>205</v>
      </c>
      <c r="B23" s="42" t="str">
        <f t="shared" si="0"/>
        <v>131_0022</v>
      </c>
      <c r="C23" s="44" t="s">
        <v>167</v>
      </c>
      <c r="D23" s="49" t="s">
        <v>91</v>
      </c>
      <c r="E23" s="49" t="s">
        <v>52</v>
      </c>
      <c r="F23" s="46" t="s">
        <v>139</v>
      </c>
      <c r="G23" s="49" t="s">
        <v>25</v>
      </c>
      <c r="H23" s="42">
        <v>12.1</v>
      </c>
      <c r="I23" s="40" t="s">
        <v>31</v>
      </c>
      <c r="L23" s="49" t="s">
        <v>170</v>
      </c>
    </row>
    <row r="24" spans="1:13" ht="39" thickBot="1">
      <c r="A24" s="42" t="s">
        <v>206</v>
      </c>
      <c r="B24" s="42" t="str">
        <f t="shared" si="0"/>
        <v>131_0023</v>
      </c>
      <c r="C24" s="44" t="s">
        <v>167</v>
      </c>
      <c r="D24" s="49" t="s">
        <v>92</v>
      </c>
      <c r="E24" s="49" t="s">
        <v>53</v>
      </c>
      <c r="F24" s="46" t="s">
        <v>140</v>
      </c>
      <c r="G24" s="49" t="s">
        <v>164</v>
      </c>
      <c r="H24" s="44" t="s">
        <v>298</v>
      </c>
      <c r="I24" s="40" t="s">
        <v>31</v>
      </c>
      <c r="L24" s="50" t="s">
        <v>170</v>
      </c>
    </row>
    <row r="25" spans="1:13" ht="26.25" thickBot="1">
      <c r="A25" s="42" t="s">
        <v>207</v>
      </c>
      <c r="B25" s="42" t="str">
        <f t="shared" si="0"/>
        <v>131_0024</v>
      </c>
      <c r="C25" s="44" t="s">
        <v>167</v>
      </c>
      <c r="D25" s="49" t="s">
        <v>93</v>
      </c>
      <c r="E25" s="49" t="s">
        <v>54</v>
      </c>
      <c r="F25" s="46" t="s">
        <v>141</v>
      </c>
      <c r="G25" s="49" t="s">
        <v>25</v>
      </c>
      <c r="H25" s="42" t="s">
        <v>267</v>
      </c>
      <c r="I25" s="40" t="s">
        <v>31</v>
      </c>
      <c r="L25" s="50" t="s">
        <v>170</v>
      </c>
    </row>
    <row r="26" spans="1:13" ht="26.25" thickBot="1">
      <c r="A26" s="42" t="s">
        <v>208</v>
      </c>
      <c r="B26" s="42" t="str">
        <f t="shared" si="0"/>
        <v>131_0025</v>
      </c>
      <c r="C26" s="44" t="s">
        <v>165</v>
      </c>
      <c r="D26" s="49" t="s">
        <v>94</v>
      </c>
      <c r="E26" s="49" t="s">
        <v>55</v>
      </c>
      <c r="F26" s="46" t="s">
        <v>142</v>
      </c>
      <c r="G26" s="49" t="s">
        <v>164</v>
      </c>
      <c r="H26" s="44" t="s">
        <v>297</v>
      </c>
      <c r="I26" s="40" t="s">
        <v>31</v>
      </c>
      <c r="L26" s="50" t="s">
        <v>170</v>
      </c>
    </row>
    <row r="27" spans="1:13" ht="39" thickBot="1">
      <c r="A27" s="42" t="s">
        <v>209</v>
      </c>
      <c r="B27" s="42" t="str">
        <f t="shared" si="0"/>
        <v>131_0026</v>
      </c>
      <c r="C27" s="44" t="s">
        <v>165</v>
      </c>
      <c r="D27" s="49" t="s">
        <v>95</v>
      </c>
      <c r="E27" s="49" t="s">
        <v>56</v>
      </c>
      <c r="F27" s="46" t="s">
        <v>143</v>
      </c>
      <c r="G27" s="49" t="s">
        <v>164</v>
      </c>
      <c r="H27" s="44" t="s">
        <v>297</v>
      </c>
      <c r="I27" s="40" t="s">
        <v>31</v>
      </c>
      <c r="L27" s="50" t="s">
        <v>170</v>
      </c>
    </row>
    <row r="28" spans="1:13" ht="26.25" thickBot="1">
      <c r="A28" s="42" t="s">
        <v>210</v>
      </c>
      <c r="B28" s="42" t="str">
        <f t="shared" si="0"/>
        <v>131_0027</v>
      </c>
      <c r="C28" s="44" t="s">
        <v>165</v>
      </c>
      <c r="D28" s="49" t="s">
        <v>96</v>
      </c>
      <c r="E28" s="49" t="s">
        <v>57</v>
      </c>
      <c r="F28" s="46" t="s">
        <v>145</v>
      </c>
      <c r="G28" s="49" t="s">
        <v>180</v>
      </c>
      <c r="H28" s="42" t="s">
        <v>268</v>
      </c>
      <c r="I28" s="40" t="s">
        <v>31</v>
      </c>
      <c r="L28" s="50" t="s">
        <v>170</v>
      </c>
    </row>
    <row r="29" spans="1:13" ht="26.25" thickBot="1">
      <c r="A29" s="42" t="s">
        <v>211</v>
      </c>
      <c r="B29" s="42" t="str">
        <f t="shared" si="0"/>
        <v>131_0028</v>
      </c>
      <c r="C29" s="44" t="s">
        <v>165</v>
      </c>
      <c r="D29" s="49" t="s">
        <v>311</v>
      </c>
      <c r="E29" s="49" t="s">
        <v>312</v>
      </c>
      <c r="F29" s="46" t="s">
        <v>146</v>
      </c>
      <c r="G29" s="49" t="s">
        <v>164</v>
      </c>
      <c r="H29" s="44" t="s">
        <v>298</v>
      </c>
      <c r="I29" s="40" t="s">
        <v>31</v>
      </c>
      <c r="L29" s="50" t="s">
        <v>170</v>
      </c>
    </row>
    <row r="30" spans="1:13" ht="26.25" thickBot="1">
      <c r="A30" s="42" t="s">
        <v>212</v>
      </c>
      <c r="B30" s="42" t="str">
        <f t="shared" si="0"/>
        <v>131_0029</v>
      </c>
      <c r="C30" s="44" t="s">
        <v>165</v>
      </c>
      <c r="D30" s="49" t="s">
        <v>97</v>
      </c>
      <c r="E30" s="49" t="s">
        <v>58</v>
      </c>
      <c r="F30" s="46" t="s">
        <v>157</v>
      </c>
      <c r="G30" s="49" t="s">
        <v>180</v>
      </c>
      <c r="H30" s="42" t="s">
        <v>232</v>
      </c>
      <c r="I30" s="40" t="s">
        <v>31</v>
      </c>
      <c r="L30" s="50" t="s">
        <v>170</v>
      </c>
    </row>
    <row r="31" spans="1:13" ht="26.25" thickBot="1">
      <c r="A31" s="42" t="s">
        <v>213</v>
      </c>
      <c r="B31" s="42" t="str">
        <f t="shared" si="0"/>
        <v>131_0030</v>
      </c>
      <c r="C31" s="44" t="s">
        <v>165</v>
      </c>
      <c r="D31" s="49" t="s">
        <v>98</v>
      </c>
      <c r="E31" s="49" t="s">
        <v>59</v>
      </c>
      <c r="F31" s="46" t="s">
        <v>147</v>
      </c>
      <c r="G31" s="49" t="s">
        <v>245</v>
      </c>
      <c r="I31" s="40" t="s">
        <v>31</v>
      </c>
      <c r="L31" s="50" t="s">
        <v>170</v>
      </c>
    </row>
    <row r="32" spans="1:13" ht="26.25" thickBot="1">
      <c r="A32" s="42" t="s">
        <v>214</v>
      </c>
      <c r="B32" s="42" t="str">
        <f t="shared" si="0"/>
        <v>131_0031</v>
      </c>
      <c r="C32" s="44" t="s">
        <v>165</v>
      </c>
      <c r="D32" s="49" t="s">
        <v>99</v>
      </c>
      <c r="E32" s="49" t="s">
        <v>60</v>
      </c>
      <c r="F32" s="46" t="s">
        <v>158</v>
      </c>
      <c r="G32" s="49" t="s">
        <v>164</v>
      </c>
      <c r="H32" s="44" t="s">
        <v>290</v>
      </c>
      <c r="I32" s="40" t="s">
        <v>31</v>
      </c>
      <c r="L32" s="50" t="s">
        <v>170</v>
      </c>
    </row>
    <row r="33" spans="1:13" ht="26.25" thickBot="1">
      <c r="A33" s="42" t="s">
        <v>215</v>
      </c>
      <c r="B33" s="42" t="str">
        <f t="shared" si="0"/>
        <v>131_0032</v>
      </c>
      <c r="C33" s="44" t="s">
        <v>165</v>
      </c>
      <c r="D33" s="49" t="s">
        <v>100</v>
      </c>
      <c r="E33" s="49" t="s">
        <v>61</v>
      </c>
      <c r="F33" s="46" t="s">
        <v>159</v>
      </c>
      <c r="G33" s="49" t="s">
        <v>164</v>
      </c>
      <c r="H33" s="44">
        <v>19.14</v>
      </c>
      <c r="I33" s="40" t="s">
        <v>31</v>
      </c>
      <c r="L33" s="50" t="s">
        <v>170</v>
      </c>
    </row>
    <row r="34" spans="1:13" ht="26.25" thickBot="1">
      <c r="A34" s="42" t="s">
        <v>216</v>
      </c>
      <c r="B34" s="42" t="str">
        <f t="shared" si="0"/>
        <v>131_0033</v>
      </c>
      <c r="C34" s="44" t="s">
        <v>167</v>
      </c>
      <c r="D34" s="49" t="s">
        <v>101</v>
      </c>
      <c r="E34" s="49" t="s">
        <v>62</v>
      </c>
      <c r="F34" s="46" t="s">
        <v>148</v>
      </c>
      <c r="G34" s="49" t="s">
        <v>164</v>
      </c>
      <c r="H34" s="42" t="s">
        <v>269</v>
      </c>
      <c r="I34" s="40" t="s">
        <v>31</v>
      </c>
      <c r="L34" s="50" t="s">
        <v>170</v>
      </c>
    </row>
    <row r="35" spans="1:13" ht="26.25" thickBot="1">
      <c r="A35" s="42" t="s">
        <v>217</v>
      </c>
      <c r="B35" s="42" t="str">
        <f t="shared" si="0"/>
        <v>131_0034</v>
      </c>
      <c r="C35" s="44" t="s">
        <v>165</v>
      </c>
      <c r="D35" s="49" t="s">
        <v>102</v>
      </c>
      <c r="E35" s="49" t="s">
        <v>63</v>
      </c>
      <c r="F35" s="46" t="s">
        <v>149</v>
      </c>
      <c r="G35" s="49" t="s">
        <v>164</v>
      </c>
      <c r="H35" s="42" t="s">
        <v>270</v>
      </c>
      <c r="I35" s="40" t="s">
        <v>31</v>
      </c>
      <c r="L35" s="50" t="s">
        <v>170</v>
      </c>
    </row>
    <row r="36" spans="1:13" ht="26.25" thickBot="1">
      <c r="A36" s="42" t="s">
        <v>218</v>
      </c>
      <c r="B36" s="42" t="str">
        <f t="shared" si="0"/>
        <v>131_0035</v>
      </c>
      <c r="C36" s="44" t="s">
        <v>165</v>
      </c>
      <c r="D36" s="49" t="s">
        <v>103</v>
      </c>
      <c r="E36" s="49" t="s">
        <v>116</v>
      </c>
      <c r="F36" s="46" t="s">
        <v>160</v>
      </c>
      <c r="G36" s="49" t="s">
        <v>164</v>
      </c>
      <c r="H36" s="44">
        <v>10.1</v>
      </c>
      <c r="I36" s="40" t="s">
        <v>31</v>
      </c>
      <c r="K36" s="39"/>
      <c r="L36" s="50" t="s">
        <v>170</v>
      </c>
    </row>
    <row r="37" spans="1:13" ht="39" thickBot="1">
      <c r="A37" s="42" t="s">
        <v>219</v>
      </c>
      <c r="B37" s="42" t="str">
        <f t="shared" si="0"/>
        <v>131_0036</v>
      </c>
      <c r="C37" s="44" t="s">
        <v>165</v>
      </c>
      <c r="D37" s="49" t="s">
        <v>104</v>
      </c>
      <c r="E37" s="49" t="s">
        <v>64</v>
      </c>
      <c r="F37" s="46" t="s">
        <v>161</v>
      </c>
      <c r="G37" s="49" t="s">
        <v>25</v>
      </c>
      <c r="H37" s="42">
        <v>12.13</v>
      </c>
      <c r="I37" s="40" t="s">
        <v>31</v>
      </c>
      <c r="K37" s="39"/>
      <c r="L37" s="50" t="s">
        <v>170</v>
      </c>
    </row>
    <row r="38" spans="1:13" ht="26.25" thickBot="1">
      <c r="A38" s="42" t="s">
        <v>220</v>
      </c>
      <c r="B38" s="42" t="str">
        <f t="shared" si="0"/>
        <v>131_0037</v>
      </c>
      <c r="C38" s="44" t="s">
        <v>167</v>
      </c>
      <c r="D38" s="49" t="s">
        <v>105</v>
      </c>
      <c r="E38" s="49" t="s">
        <v>321</v>
      </c>
      <c r="F38" s="46" t="s">
        <v>150</v>
      </c>
      <c r="G38" s="49" t="s">
        <v>164</v>
      </c>
      <c r="H38" s="42">
        <v>12.2</v>
      </c>
      <c r="I38" s="40" t="s">
        <v>31</v>
      </c>
      <c r="K38" s="39"/>
      <c r="L38" s="50" t="s">
        <v>170</v>
      </c>
    </row>
    <row r="39" spans="1:13" ht="26.25" thickBot="1">
      <c r="A39" s="42" t="s">
        <v>221</v>
      </c>
      <c r="B39" s="42" t="str">
        <f t="shared" si="0"/>
        <v>131_0038</v>
      </c>
      <c r="C39" s="44" t="s">
        <v>167</v>
      </c>
      <c r="D39" s="49" t="s">
        <v>106</v>
      </c>
      <c r="E39" s="49" t="s">
        <v>322</v>
      </c>
      <c r="F39" s="46" t="s">
        <v>151</v>
      </c>
      <c r="G39" s="49" t="s">
        <v>164</v>
      </c>
      <c r="H39" s="42" t="s">
        <v>295</v>
      </c>
      <c r="I39" s="40" t="s">
        <v>31</v>
      </c>
      <c r="K39" s="39"/>
      <c r="L39" s="50" t="s">
        <v>170</v>
      </c>
    </row>
    <row r="40" spans="1:13" ht="26.25" thickBot="1">
      <c r="A40" s="42" t="s">
        <v>222</v>
      </c>
      <c r="B40" s="42" t="str">
        <f t="shared" si="0"/>
        <v>131_0039</v>
      </c>
      <c r="C40" s="44" t="s">
        <v>167</v>
      </c>
      <c r="D40" s="49" t="s">
        <v>107</v>
      </c>
      <c r="E40" s="49" t="s">
        <v>117</v>
      </c>
      <c r="F40" s="46" t="s">
        <v>162</v>
      </c>
      <c r="G40" s="49" t="s">
        <v>164</v>
      </c>
      <c r="H40" s="44" t="s">
        <v>296</v>
      </c>
      <c r="I40" s="40" t="s">
        <v>31</v>
      </c>
      <c r="K40" s="39"/>
      <c r="L40" s="50" t="s">
        <v>170</v>
      </c>
    </row>
    <row r="41" spans="1:13" ht="26.25" thickBot="1">
      <c r="A41" s="42" t="s">
        <v>223</v>
      </c>
      <c r="B41" s="42" t="str">
        <f t="shared" si="0"/>
        <v>131_0040</v>
      </c>
      <c r="C41" s="44" t="s">
        <v>165</v>
      </c>
      <c r="D41" s="49" t="s">
        <v>108</v>
      </c>
      <c r="E41" s="49" t="s">
        <v>65</v>
      </c>
      <c r="F41" s="46" t="s">
        <v>163</v>
      </c>
      <c r="G41" s="49" t="s">
        <v>25</v>
      </c>
      <c r="H41" s="42">
        <v>12.13</v>
      </c>
      <c r="I41" s="40" t="s">
        <v>31</v>
      </c>
      <c r="K41" s="39"/>
      <c r="L41" s="50" t="s">
        <v>170</v>
      </c>
    </row>
    <row r="42" spans="1:13" ht="26.25" thickBot="1">
      <c r="A42" s="42" t="s">
        <v>224</v>
      </c>
      <c r="B42" s="42" t="str">
        <f t="shared" ref="B42:B65" si="1">_xlfn.CONCAT("131_", TEXT(ROW()-1, "0000"))</f>
        <v>131_0041</v>
      </c>
      <c r="C42" s="44" t="s">
        <v>165</v>
      </c>
      <c r="D42" s="49" t="s">
        <v>109</v>
      </c>
      <c r="E42" s="49" t="s">
        <v>66</v>
      </c>
      <c r="F42" s="46" t="s">
        <v>152</v>
      </c>
      <c r="G42" s="49" t="s">
        <v>164</v>
      </c>
      <c r="H42" s="42" t="s">
        <v>271</v>
      </c>
      <c r="I42" s="40" t="s">
        <v>31</v>
      </c>
      <c r="L42" s="50" t="s">
        <v>170</v>
      </c>
    </row>
    <row r="43" spans="1:13" ht="26.25" thickBot="1">
      <c r="A43" s="42" t="s">
        <v>225</v>
      </c>
      <c r="B43" s="42" t="str">
        <f t="shared" si="1"/>
        <v>131_0042</v>
      </c>
      <c r="C43" s="44" t="s">
        <v>165</v>
      </c>
      <c r="D43" s="49" t="s">
        <v>110</v>
      </c>
      <c r="E43" s="49" t="s">
        <v>67</v>
      </c>
      <c r="F43" s="46" t="s">
        <v>153</v>
      </c>
      <c r="G43" s="49" t="s">
        <v>164</v>
      </c>
      <c r="H43" s="42" t="s">
        <v>271</v>
      </c>
      <c r="I43" s="40" t="s">
        <v>31</v>
      </c>
      <c r="L43" s="50" t="s">
        <v>168</v>
      </c>
    </row>
    <row r="44" spans="1:13" ht="39" thickBot="1">
      <c r="A44" s="42" t="s">
        <v>226</v>
      </c>
      <c r="B44" s="42" t="str">
        <f t="shared" si="1"/>
        <v>131_0043</v>
      </c>
      <c r="C44" s="44" t="s">
        <v>167</v>
      </c>
      <c r="D44" s="49" t="s">
        <v>111</v>
      </c>
      <c r="E44" s="49" t="s">
        <v>68</v>
      </c>
      <c r="F44" s="46" t="s">
        <v>154</v>
      </c>
      <c r="G44" s="49" t="s">
        <v>164</v>
      </c>
      <c r="H44" s="42" t="s">
        <v>271</v>
      </c>
      <c r="I44" s="40" t="s">
        <v>31</v>
      </c>
      <c r="L44" s="50" t="s">
        <v>168</v>
      </c>
    </row>
    <row r="45" spans="1:13" ht="26.25" thickBot="1">
      <c r="A45" s="42" t="s">
        <v>227</v>
      </c>
      <c r="B45" s="42" t="str">
        <f t="shared" si="1"/>
        <v>131_0044</v>
      </c>
      <c r="C45" s="44" t="s">
        <v>167</v>
      </c>
      <c r="D45" s="49" t="s">
        <v>112</v>
      </c>
      <c r="E45" s="49" t="s">
        <v>69</v>
      </c>
      <c r="F45" s="46" t="s">
        <v>155</v>
      </c>
      <c r="G45" s="49" t="s">
        <v>164</v>
      </c>
      <c r="H45" s="42" t="s">
        <v>272</v>
      </c>
      <c r="I45" s="40" t="s">
        <v>31</v>
      </c>
      <c r="L45" s="50" t="s">
        <v>170</v>
      </c>
    </row>
    <row r="46" spans="1:13" ht="26.25" thickBot="1">
      <c r="A46" s="42" t="s">
        <v>228</v>
      </c>
      <c r="B46" s="42" t="str">
        <f t="shared" si="1"/>
        <v>131_0045</v>
      </c>
      <c r="C46" s="44" t="s">
        <v>167</v>
      </c>
      <c r="D46" s="49" t="s">
        <v>113</v>
      </c>
      <c r="E46" s="49" t="s">
        <v>70</v>
      </c>
      <c r="F46" s="46" t="s">
        <v>155</v>
      </c>
      <c r="G46" s="49" t="s">
        <v>164</v>
      </c>
      <c r="H46" s="42" t="s">
        <v>272</v>
      </c>
      <c r="I46" s="40" t="s">
        <v>31</v>
      </c>
      <c r="L46" s="50" t="s">
        <v>170</v>
      </c>
    </row>
    <row r="47" spans="1:13" ht="26.25" thickBot="1">
      <c r="A47" s="42" t="s">
        <v>229</v>
      </c>
      <c r="B47" s="42" t="str">
        <f t="shared" si="1"/>
        <v>131_0046</v>
      </c>
      <c r="C47" s="44" t="s">
        <v>167</v>
      </c>
      <c r="D47" s="49" t="s">
        <v>114</v>
      </c>
      <c r="E47" s="49" t="s">
        <v>310</v>
      </c>
      <c r="F47" s="46" t="s">
        <v>156</v>
      </c>
      <c r="G47" s="49" t="s">
        <v>164</v>
      </c>
      <c r="H47" s="42" t="s">
        <v>179</v>
      </c>
      <c r="I47" s="40" t="s">
        <v>31</v>
      </c>
      <c r="J47" s="40" t="s">
        <v>26</v>
      </c>
      <c r="L47" s="50" t="s">
        <v>170</v>
      </c>
      <c r="M47" s="39" t="s">
        <v>260</v>
      </c>
    </row>
    <row r="48" spans="1:13" ht="39" thickBot="1">
      <c r="A48" s="42" t="s">
        <v>230</v>
      </c>
      <c r="B48" s="42" t="str">
        <f t="shared" si="1"/>
        <v>131_0047</v>
      </c>
      <c r="C48" s="44" t="s">
        <v>167</v>
      </c>
      <c r="D48" s="51" t="s">
        <v>115</v>
      </c>
      <c r="E48" s="49" t="s">
        <v>71</v>
      </c>
      <c r="F48" s="46" t="s">
        <v>273</v>
      </c>
      <c r="G48" s="49" t="s">
        <v>164</v>
      </c>
      <c r="H48" s="42" t="s">
        <v>289</v>
      </c>
      <c r="I48" s="40" t="s">
        <v>31</v>
      </c>
      <c r="L48" s="50" t="s">
        <v>168</v>
      </c>
    </row>
    <row r="49" spans="1:12" ht="26.25" thickBot="1">
      <c r="A49" s="42" t="str">
        <f>_xlfn.CONCAT("131_ED2_", TEXT(ROW()-48,"000"))</f>
        <v>131_ED2_001</v>
      </c>
      <c r="B49" s="42" t="str">
        <f t="shared" si="1"/>
        <v>131_0048</v>
      </c>
      <c r="C49" s="44" t="s">
        <v>167</v>
      </c>
      <c r="D49" s="49" t="s">
        <v>236</v>
      </c>
      <c r="E49" s="49" t="s">
        <v>237</v>
      </c>
      <c r="F49" s="46" t="s">
        <v>238</v>
      </c>
      <c r="G49" s="49" t="s">
        <v>25</v>
      </c>
      <c r="H49" s="44">
        <v>7.6</v>
      </c>
      <c r="I49" s="40" t="s">
        <v>26</v>
      </c>
      <c r="K49" s="39"/>
      <c r="L49" s="50" t="s">
        <v>239</v>
      </c>
    </row>
    <row r="50" spans="1:12" ht="39" thickBot="1">
      <c r="A50" s="42" t="str">
        <f t="shared" ref="A50:A65" si="2">_xlfn.CONCAT("131_ED2_", TEXT(ROW()-48,"000"))</f>
        <v>131_ED2_002</v>
      </c>
      <c r="B50" s="42" t="str">
        <f t="shared" si="1"/>
        <v>131_0049</v>
      </c>
      <c r="C50" s="44" t="s">
        <v>166</v>
      </c>
      <c r="D50" s="49" t="s">
        <v>240</v>
      </c>
      <c r="E50" s="49" t="s">
        <v>308</v>
      </c>
      <c r="F50" s="46" t="s">
        <v>309</v>
      </c>
      <c r="G50" s="49" t="s">
        <v>25</v>
      </c>
      <c r="H50" s="42">
        <v>7.5</v>
      </c>
      <c r="I50" s="40" t="s">
        <v>26</v>
      </c>
      <c r="J50" s="40" t="s">
        <v>26</v>
      </c>
      <c r="K50" s="39"/>
      <c r="L50" s="50" t="s">
        <v>239</v>
      </c>
    </row>
    <row r="51" spans="1:12" ht="26.25" thickBot="1">
      <c r="A51" s="42" t="str">
        <f t="shared" si="2"/>
        <v>131_ED2_003</v>
      </c>
      <c r="B51" s="42" t="str">
        <f t="shared" si="1"/>
        <v>131_0050</v>
      </c>
      <c r="C51" s="44" t="s">
        <v>167</v>
      </c>
      <c r="D51" s="49" t="s">
        <v>241</v>
      </c>
      <c r="E51" s="49" t="s">
        <v>242</v>
      </c>
      <c r="F51" s="46" t="s">
        <v>243</v>
      </c>
      <c r="G51" s="49" t="s">
        <v>25</v>
      </c>
      <c r="H51" s="42">
        <v>7.3</v>
      </c>
      <c r="I51" s="40" t="s">
        <v>26</v>
      </c>
      <c r="K51" s="39"/>
      <c r="L51" s="50" t="s">
        <v>169</v>
      </c>
    </row>
    <row r="52" spans="1:12" ht="26.25" thickBot="1">
      <c r="A52" s="42" t="str">
        <f t="shared" si="2"/>
        <v>131_ED2_004</v>
      </c>
      <c r="B52" s="42" t="str">
        <f t="shared" si="1"/>
        <v>131_0051</v>
      </c>
      <c r="C52" s="43" t="s">
        <v>165</v>
      </c>
      <c r="D52" s="49" t="s">
        <v>323</v>
      </c>
      <c r="E52" s="49" t="s">
        <v>324</v>
      </c>
      <c r="F52" s="45" t="s">
        <v>307</v>
      </c>
      <c r="G52" s="49" t="s">
        <v>25</v>
      </c>
      <c r="H52" s="42">
        <v>12.8</v>
      </c>
      <c r="I52" s="39" t="s">
        <v>26</v>
      </c>
      <c r="L52" s="49" t="s">
        <v>171</v>
      </c>
    </row>
    <row r="53" spans="1:12" ht="26.25" thickBot="1">
      <c r="A53" s="42" t="str">
        <f t="shared" si="2"/>
        <v>131_ED2_005</v>
      </c>
      <c r="B53" s="42" t="str">
        <f t="shared" si="1"/>
        <v>131_0052</v>
      </c>
      <c r="C53" s="42" t="s">
        <v>166</v>
      </c>
      <c r="D53" s="49" t="s">
        <v>247</v>
      </c>
      <c r="E53" s="49" t="s">
        <v>248</v>
      </c>
      <c r="F53" s="46" t="s">
        <v>249</v>
      </c>
      <c r="G53" s="49" t="s">
        <v>25</v>
      </c>
      <c r="H53" s="42">
        <v>13.1</v>
      </c>
      <c r="I53" s="40" t="s">
        <v>26</v>
      </c>
      <c r="L53" s="39" t="s">
        <v>245</v>
      </c>
    </row>
    <row r="54" spans="1:12" ht="26.25" thickBot="1">
      <c r="A54" s="42" t="str">
        <f t="shared" si="2"/>
        <v>131_ED2_006</v>
      </c>
      <c r="B54" s="42" t="str">
        <f t="shared" si="1"/>
        <v>131_0053</v>
      </c>
      <c r="C54" s="42" t="s">
        <v>166</v>
      </c>
      <c r="D54" s="49" t="s">
        <v>250</v>
      </c>
      <c r="E54" s="49" t="s">
        <v>251</v>
      </c>
      <c r="F54" s="46" t="s">
        <v>252</v>
      </c>
      <c r="G54" s="49" t="s">
        <v>25</v>
      </c>
      <c r="H54" s="42">
        <v>13.1</v>
      </c>
      <c r="I54" s="40" t="s">
        <v>26</v>
      </c>
      <c r="L54" s="39" t="s">
        <v>245</v>
      </c>
    </row>
    <row r="55" spans="1:12" ht="39" thickBot="1">
      <c r="A55" s="42" t="str">
        <f t="shared" si="2"/>
        <v>131_ED2_007</v>
      </c>
      <c r="B55" s="42" t="str">
        <f t="shared" si="1"/>
        <v>131_0054</v>
      </c>
      <c r="C55" s="42" t="s">
        <v>166</v>
      </c>
      <c r="D55" s="49" t="s">
        <v>253</v>
      </c>
      <c r="E55" s="49" t="s">
        <v>254</v>
      </c>
      <c r="F55" s="46" t="s">
        <v>255</v>
      </c>
      <c r="G55" s="49" t="s">
        <v>25</v>
      </c>
      <c r="H55" s="42">
        <v>13.1</v>
      </c>
      <c r="I55" s="40" t="s">
        <v>26</v>
      </c>
      <c r="L55" s="39" t="s">
        <v>245</v>
      </c>
    </row>
    <row r="56" spans="1:12" ht="26.25" thickBot="1">
      <c r="A56" s="42" t="str">
        <f t="shared" si="2"/>
        <v>131_ED2_008</v>
      </c>
      <c r="B56" s="42" t="str">
        <f t="shared" si="1"/>
        <v>131_0055</v>
      </c>
      <c r="C56" s="42" t="s">
        <v>166</v>
      </c>
      <c r="D56" s="46" t="s">
        <v>256</v>
      </c>
      <c r="E56" s="46" t="s">
        <v>315</v>
      </c>
      <c r="F56" s="46" t="s">
        <v>144</v>
      </c>
      <c r="G56" s="47" t="s">
        <v>25</v>
      </c>
      <c r="H56" s="42">
        <v>14.1</v>
      </c>
      <c r="I56" s="40" t="s">
        <v>26</v>
      </c>
      <c r="L56" s="39" t="s">
        <v>245</v>
      </c>
    </row>
    <row r="57" spans="1:12" ht="39" thickBot="1">
      <c r="A57" s="42" t="str">
        <f t="shared" si="2"/>
        <v>131_ED2_009</v>
      </c>
      <c r="B57" s="42" t="str">
        <f t="shared" si="1"/>
        <v>131_0056</v>
      </c>
      <c r="C57" s="44" t="s">
        <v>167</v>
      </c>
      <c r="D57" s="39" t="s">
        <v>258</v>
      </c>
      <c r="E57" s="39" t="s">
        <v>257</v>
      </c>
      <c r="F57" s="39" t="s">
        <v>259</v>
      </c>
      <c r="G57" s="48" t="s">
        <v>25</v>
      </c>
      <c r="H57" s="44" t="s">
        <v>178</v>
      </c>
      <c r="I57" s="40" t="s">
        <v>26</v>
      </c>
      <c r="L57" s="39" t="s">
        <v>170</v>
      </c>
    </row>
    <row r="58" spans="1:12" ht="26.25" thickBot="1">
      <c r="A58" s="42" t="str">
        <f t="shared" si="2"/>
        <v>131_ED2_010</v>
      </c>
      <c r="B58" s="42" t="str">
        <f t="shared" si="1"/>
        <v>131_0057</v>
      </c>
      <c r="C58" s="44" t="s">
        <v>165</v>
      </c>
      <c r="D58" s="39" t="s">
        <v>275</v>
      </c>
      <c r="E58" s="39" t="s">
        <v>274</v>
      </c>
      <c r="F58" s="39" t="s">
        <v>276</v>
      </c>
      <c r="G58" s="48" t="s">
        <v>25</v>
      </c>
      <c r="H58" s="44">
        <v>7.3</v>
      </c>
      <c r="I58" s="40" t="s">
        <v>26</v>
      </c>
      <c r="L58" s="39" t="s">
        <v>239</v>
      </c>
    </row>
    <row r="59" spans="1:12" ht="26.25" thickBot="1">
      <c r="A59" s="42" t="str">
        <f t="shared" si="2"/>
        <v>131_ED2_011</v>
      </c>
      <c r="B59" s="42" t="str">
        <f t="shared" si="1"/>
        <v>131_0058</v>
      </c>
      <c r="C59" s="44" t="s">
        <v>165</v>
      </c>
      <c r="D59" s="39" t="s">
        <v>278</v>
      </c>
      <c r="E59" s="39" t="s">
        <v>277</v>
      </c>
      <c r="F59" s="39" t="s">
        <v>279</v>
      </c>
      <c r="G59" s="48" t="s">
        <v>164</v>
      </c>
      <c r="H59" s="44" t="s">
        <v>176</v>
      </c>
      <c r="I59" s="40" t="s">
        <v>26</v>
      </c>
      <c r="L59" s="39" t="s">
        <v>299</v>
      </c>
    </row>
    <row r="60" spans="1:12" ht="26.25" thickBot="1">
      <c r="A60" s="42" t="str">
        <f t="shared" si="2"/>
        <v>131_ED2_012</v>
      </c>
      <c r="B60" s="42" t="str">
        <f t="shared" si="1"/>
        <v>131_0059</v>
      </c>
      <c r="C60" s="44" t="s">
        <v>167</v>
      </c>
      <c r="D60" s="39" t="s">
        <v>280</v>
      </c>
      <c r="E60" s="39" t="s">
        <v>281</v>
      </c>
      <c r="F60" s="39" t="s">
        <v>283</v>
      </c>
      <c r="G60" s="48" t="s">
        <v>164</v>
      </c>
      <c r="H60" s="44" t="s">
        <v>176</v>
      </c>
      <c r="I60" s="40" t="s">
        <v>26</v>
      </c>
      <c r="L60" s="39" t="s">
        <v>299</v>
      </c>
    </row>
    <row r="61" spans="1:12" ht="26.25" thickBot="1">
      <c r="A61" s="42" t="str">
        <f t="shared" si="2"/>
        <v>131_ED2_013</v>
      </c>
      <c r="B61" s="42" t="str">
        <f t="shared" si="1"/>
        <v>131_0060</v>
      </c>
      <c r="C61" s="44" t="s">
        <v>165</v>
      </c>
      <c r="D61" s="39" t="s">
        <v>287</v>
      </c>
      <c r="E61" s="39" t="s">
        <v>282</v>
      </c>
      <c r="F61" s="39" t="s">
        <v>284</v>
      </c>
      <c r="G61" s="48" t="s">
        <v>164</v>
      </c>
      <c r="H61" s="44" t="s">
        <v>290</v>
      </c>
      <c r="I61" s="40" t="s">
        <v>26</v>
      </c>
      <c r="L61" s="39" t="s">
        <v>299</v>
      </c>
    </row>
    <row r="62" spans="1:12" ht="26.25" thickBot="1">
      <c r="A62" s="42" t="str">
        <f t="shared" si="2"/>
        <v>131_ED2_014</v>
      </c>
      <c r="B62" s="42" t="str">
        <f t="shared" si="1"/>
        <v>131_0061</v>
      </c>
      <c r="C62" s="44" t="s">
        <v>167</v>
      </c>
      <c r="D62" s="39" t="s">
        <v>288</v>
      </c>
      <c r="E62" s="39" t="s">
        <v>285</v>
      </c>
      <c r="F62" s="39" t="s">
        <v>286</v>
      </c>
      <c r="G62" s="48" t="s">
        <v>164</v>
      </c>
      <c r="H62" s="44" t="s">
        <v>290</v>
      </c>
      <c r="I62" s="40" t="s">
        <v>26</v>
      </c>
      <c r="L62" s="39" t="s">
        <v>299</v>
      </c>
    </row>
    <row r="63" spans="1:12" ht="26.25" thickBot="1">
      <c r="A63" s="42" t="str">
        <f t="shared" si="2"/>
        <v>131_ED2_015</v>
      </c>
      <c r="B63" s="42" t="str">
        <f t="shared" si="1"/>
        <v>131_0062</v>
      </c>
      <c r="C63" s="44" t="s">
        <v>167</v>
      </c>
      <c r="D63" s="39" t="s">
        <v>292</v>
      </c>
      <c r="E63" s="39" t="s">
        <v>291</v>
      </c>
      <c r="F63" s="39" t="s">
        <v>293</v>
      </c>
      <c r="G63" s="48" t="s">
        <v>164</v>
      </c>
      <c r="H63" s="44" t="s">
        <v>318</v>
      </c>
      <c r="I63" s="40" t="s">
        <v>26</v>
      </c>
      <c r="L63" s="39" t="s">
        <v>299</v>
      </c>
    </row>
    <row r="64" spans="1:12" ht="26.25" thickBot="1">
      <c r="A64" s="42" t="str">
        <f t="shared" si="2"/>
        <v>131_ED2_016</v>
      </c>
      <c r="B64" s="42" t="str">
        <f t="shared" si="1"/>
        <v>131_0063</v>
      </c>
      <c r="C64" s="44" t="s">
        <v>165</v>
      </c>
      <c r="D64" s="39" t="s">
        <v>300</v>
      </c>
      <c r="E64" s="39" t="s">
        <v>303</v>
      </c>
      <c r="F64" s="39" t="s">
        <v>301</v>
      </c>
      <c r="G64" s="48" t="s">
        <v>164</v>
      </c>
      <c r="H64" s="44" t="s">
        <v>317</v>
      </c>
      <c r="I64" s="40" t="s">
        <v>26</v>
      </c>
      <c r="L64" s="39" t="s">
        <v>302</v>
      </c>
    </row>
    <row r="65" spans="1:12" ht="26.25" thickBot="1">
      <c r="A65" s="42" t="str">
        <f t="shared" si="2"/>
        <v>131_ED2_017</v>
      </c>
      <c r="B65" s="42" t="str">
        <f t="shared" si="1"/>
        <v>131_0064</v>
      </c>
      <c r="C65" s="44" t="s">
        <v>167</v>
      </c>
      <c r="D65" s="39" t="s">
        <v>306</v>
      </c>
      <c r="E65" s="39" t="s">
        <v>304</v>
      </c>
      <c r="F65" s="39" t="s">
        <v>305</v>
      </c>
      <c r="G65" s="48" t="s">
        <v>164</v>
      </c>
      <c r="H65" s="44" t="s">
        <v>317</v>
      </c>
      <c r="I65" s="40" t="s">
        <v>26</v>
      </c>
      <c r="L65" s="39" t="s">
        <v>299</v>
      </c>
    </row>
    <row r="66" spans="1:12" ht="12.75"/>
    <row r="67" spans="1:12" ht="12.75"/>
    <row r="68" spans="1:12" ht="12.75"/>
    <row r="69" spans="1:12" ht="12.75"/>
    <row r="70" spans="1:12" ht="12.75"/>
    <row r="71" spans="1:12" ht="12.75"/>
    <row r="72" spans="1:12" ht="12.75"/>
    <row r="73" spans="1:12" ht="12.75"/>
    <row r="74" spans="1:12" ht="12.75"/>
    <row r="75" spans="1:12" ht="12.75"/>
    <row r="76" spans="1:12" ht="12.75"/>
    <row r="77" spans="1:12" ht="12.75"/>
    <row r="78" spans="1:12" ht="12.75"/>
    <row r="79" spans="1:12" ht="12.75"/>
    <row r="80" spans="1:12"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sheetData>
  <autoFilter ref="K1:K65" xr:uid="{00000000-0001-0000-0100-000000000000}"/>
  <dataValidations count="1">
    <dataValidation type="list" allowBlank="1" showInputMessage="1" showErrorMessage="1" sqref="C2:C230" xr:uid="{1FB138CC-14EF-4406-9E7B-EC5039F9ECE1}">
      <formula1>"C,E,W"</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S131ValidationChecks metadata</vt:lpstr>
      <vt:lpstr>S131Checks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2026-03-25T08:52:41Z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